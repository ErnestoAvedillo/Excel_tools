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1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-15" yWindow="345" windowWidth="12000" windowHeight="4995" tabRatio="694"/>
  </bookViews>
  <sheets>
    <sheet name="Spring selection type" sheetId="9" r:id="rId1"/>
    <sheet name="Compression Spring 1K" sheetId="1" state="veryHidden" r:id="rId2"/>
    <sheet name="Compression Spring 2K" sheetId="8" state="veryHidden" r:id="rId3"/>
    <sheet name="Tension Spring" sheetId="12" state="veryHidden" r:id="rId4"/>
    <sheet name="Torsion Spring" sheetId="15" state="veryHidden" r:id="rId5"/>
    <sheet name="Hoja2" sheetId="2" state="hidden" r:id="rId6"/>
    <sheet name="DH" sheetId="10" state="hidden" r:id="rId7"/>
    <sheet name="TD" sheetId="11" state="hidden" r:id="rId8"/>
  </sheets>
  <functionGroups builtInGroupCount="17"/>
  <definedNames>
    <definedName name="_xlnm.Print_Area" localSheetId="2">'Compression Spring 2K'!$A$1:$P$25</definedName>
  </definedNames>
  <calcPr calcId="152511"/>
</workbook>
</file>

<file path=xl/calcChain.xml><?xml version="1.0" encoding="utf-8"?>
<calcChain xmlns="http://schemas.openxmlformats.org/spreadsheetml/2006/main">
  <c r="B54" i="1" l="1"/>
  <c r="B53" i="1"/>
  <c r="B53" i="8"/>
  <c r="B52" i="8"/>
  <c r="B51" i="8"/>
  <c r="B54" i="12"/>
  <c r="B53" i="12"/>
  <c r="C54" i="12"/>
  <c r="C53" i="12"/>
  <c r="C52" i="12"/>
  <c r="C61" i="15" l="1"/>
  <c r="C60" i="15"/>
  <c r="B61" i="15"/>
  <c r="B60" i="15"/>
  <c r="C53" i="8" l="1"/>
  <c r="C52" i="8"/>
  <c r="C51" i="8"/>
  <c r="B43" i="1"/>
  <c r="C43" i="1" s="1"/>
  <c r="C54" i="1"/>
  <c r="C53" i="1"/>
  <c r="C44" i="15" l="1"/>
  <c r="C45" i="15"/>
  <c r="C43" i="15" s="1"/>
  <c r="C54" i="15" s="1"/>
  <c r="C36" i="12"/>
  <c r="C42" i="15" l="1"/>
  <c r="C56" i="15" s="1"/>
  <c r="C55" i="15" s="1"/>
  <c r="B55" i="15" l="1"/>
  <c r="B56" i="15"/>
  <c r="C52" i="15"/>
  <c r="B51" i="15"/>
  <c r="B52" i="15" s="1"/>
  <c r="C31" i="15"/>
  <c r="G6" i="15"/>
  <c r="U38" i="15"/>
  <c r="AI38" i="15" s="1"/>
  <c r="U37" i="15"/>
  <c r="AC37" i="15" s="1"/>
  <c r="U36" i="15"/>
  <c r="AH36" i="15" s="1"/>
  <c r="U35" i="15"/>
  <c r="AC35" i="15" s="1"/>
  <c r="U34" i="15"/>
  <c r="V34" i="15" s="1"/>
  <c r="U33" i="15"/>
  <c r="AI33" i="15" s="1"/>
  <c r="U32" i="15"/>
  <c r="V32" i="15" s="1"/>
  <c r="U31" i="15"/>
  <c r="AI31" i="15" s="1"/>
  <c r="U30" i="15"/>
  <c r="AI30" i="15" s="1"/>
  <c r="U29" i="15"/>
  <c r="AI29" i="15" s="1"/>
  <c r="U28" i="15"/>
  <c r="AC28" i="15" s="1"/>
  <c r="U27" i="15"/>
  <c r="AH27" i="15" s="1"/>
  <c r="U26" i="15"/>
  <c r="W26" i="15" s="1"/>
  <c r="U25" i="15"/>
  <c r="W25" i="15" s="1"/>
  <c r="U24" i="15"/>
  <c r="V24" i="15" s="1"/>
  <c r="U23" i="15"/>
  <c r="AI23" i="15" s="1"/>
  <c r="U22" i="15"/>
  <c r="V22" i="15" s="1"/>
  <c r="U21" i="15"/>
  <c r="AI21" i="15" s="1"/>
  <c r="U20" i="15"/>
  <c r="AI20" i="15" s="1"/>
  <c r="U19" i="15"/>
  <c r="AC19" i="15" s="1"/>
  <c r="U18" i="15"/>
  <c r="AH18" i="15" s="1"/>
  <c r="U17" i="15"/>
  <c r="W17" i="15" s="1"/>
  <c r="U16" i="15"/>
  <c r="V16" i="15" s="1"/>
  <c r="U15" i="15"/>
  <c r="AH15" i="15" s="1"/>
  <c r="U14" i="15"/>
  <c r="V14" i="15" s="1"/>
  <c r="U13" i="15"/>
  <c r="AI13" i="15" s="1"/>
  <c r="U12" i="15"/>
  <c r="W12" i="15" s="1"/>
  <c r="U11" i="15"/>
  <c r="AC11" i="15" s="1"/>
  <c r="U10" i="15"/>
  <c r="AH10" i="15" s="1"/>
  <c r="U9" i="15"/>
  <c r="W9" i="15" s="1"/>
  <c r="U8" i="15"/>
  <c r="V8" i="15" s="1"/>
  <c r="U7" i="15"/>
  <c r="AI7" i="15" s="1"/>
  <c r="U6" i="15"/>
  <c r="V6" i="15" s="1"/>
  <c r="U5" i="15"/>
  <c r="AI5" i="15" s="1"/>
  <c r="AK4" i="15"/>
  <c r="AJ4" i="15"/>
  <c r="AE4" i="15"/>
  <c r="AD4" i="15"/>
  <c r="Y4" i="15"/>
  <c r="X4" i="15"/>
  <c r="U4" i="15"/>
  <c r="V4" i="15" s="1"/>
  <c r="AM3" i="15"/>
  <c r="AM4" i="15" s="1"/>
  <c r="AL3" i="15"/>
  <c r="AL4" i="15" s="1"/>
  <c r="AJ3" i="15"/>
  <c r="AH3" i="15"/>
  <c r="AG3" i="15"/>
  <c r="AG4" i="15" s="1"/>
  <c r="AF3" i="15"/>
  <c r="AF4" i="15" s="1"/>
  <c r="AD3" i="15"/>
  <c r="AB3" i="15"/>
  <c r="AA3" i="15"/>
  <c r="AA4" i="15" s="1"/>
  <c r="Z3" i="15"/>
  <c r="Z4" i="15" s="1"/>
  <c r="X3" i="15"/>
  <c r="V3" i="15"/>
  <c r="W7" i="15" l="1"/>
  <c r="AC16" i="15"/>
  <c r="V31" i="15"/>
  <c r="AH4" i="15"/>
  <c r="AB7" i="15"/>
  <c r="AH16" i="15"/>
  <c r="AB31" i="15"/>
  <c r="AC7" i="15"/>
  <c r="AI24" i="15"/>
  <c r="AI28" i="15"/>
  <c r="W4" i="15"/>
  <c r="AH7" i="15"/>
  <c r="V13" i="15"/>
  <c r="AC25" i="15"/>
  <c r="V33" i="15"/>
  <c r="AB8" i="15"/>
  <c r="W14" i="15"/>
  <c r="AI25" i="15"/>
  <c r="V30" i="15"/>
  <c r="AB33" i="15"/>
  <c r="AB4" i="15"/>
  <c r="AC8" i="15"/>
  <c r="AC15" i="15"/>
  <c r="AB17" i="15"/>
  <c r="V21" i="15"/>
  <c r="AH23" i="15"/>
  <c r="AB26" i="15"/>
  <c r="V7" i="15"/>
  <c r="AH8" i="15"/>
  <c r="AI15" i="15"/>
  <c r="AH17" i="15"/>
  <c r="AB21" i="15"/>
  <c r="AI26" i="15"/>
  <c r="AC33" i="15"/>
  <c r="AH37" i="15"/>
  <c r="AI11" i="15"/>
  <c r="AB15" i="15"/>
  <c r="AC23" i="15"/>
  <c r="AI9" i="15"/>
  <c r="W16" i="15"/>
  <c r="AI18" i="15"/>
  <c r="AC22" i="15"/>
  <c r="AI34" i="15"/>
  <c r="AC32" i="15"/>
  <c r="AB35" i="15"/>
  <c r="AH19" i="15"/>
  <c r="V23" i="15"/>
  <c r="V11" i="15"/>
  <c r="W15" i="15"/>
  <c r="AI16" i="15"/>
  <c r="AB23" i="15"/>
  <c r="AH35" i="15"/>
  <c r="AI4" i="15"/>
  <c r="W6" i="15"/>
  <c r="AB9" i="15"/>
  <c r="AH11" i="15"/>
  <c r="AC14" i="15"/>
  <c r="AC17" i="15"/>
  <c r="AI19" i="15"/>
  <c r="W24" i="15"/>
  <c r="AH25" i="15"/>
  <c r="AB30" i="15"/>
  <c r="W34" i="15"/>
  <c r="AB24" i="15"/>
  <c r="AB34" i="15"/>
  <c r="AC6" i="15"/>
  <c r="AC9" i="15"/>
  <c r="W8" i="15"/>
  <c r="AH9" i="15"/>
  <c r="V15" i="15"/>
  <c r="AB16" i="15"/>
  <c r="AI17" i="15"/>
  <c r="W23" i="15"/>
  <c r="AC24" i="15"/>
  <c r="V28" i="15"/>
  <c r="W33" i="15"/>
  <c r="AC34" i="15"/>
  <c r="V37" i="15"/>
  <c r="AH24" i="15"/>
  <c r="AH28" i="15"/>
  <c r="AH34" i="15"/>
  <c r="W37" i="15"/>
  <c r="AI10" i="15"/>
  <c r="AC26" i="15"/>
  <c r="AH33" i="15"/>
  <c r="AI37" i="15"/>
  <c r="V5" i="15"/>
  <c r="AB13" i="15"/>
  <c r="AB5" i="15"/>
  <c r="AI8" i="15"/>
  <c r="V19" i="15"/>
  <c r="W22" i="15"/>
  <c r="AB25" i="15"/>
  <c r="AH26" i="15"/>
  <c r="W32" i="15"/>
  <c r="AI27" i="15"/>
  <c r="AI36" i="15"/>
  <c r="W5" i="15"/>
  <c r="AB6" i="15"/>
  <c r="V12" i="15"/>
  <c r="W13" i="15"/>
  <c r="AB14" i="15"/>
  <c r="V20" i="15"/>
  <c r="W21" i="15"/>
  <c r="AB22" i="15"/>
  <c r="V29" i="15"/>
  <c r="W30" i="15"/>
  <c r="W31" i="15"/>
  <c r="AB32" i="15"/>
  <c r="AI35" i="15"/>
  <c r="V38" i="15"/>
  <c r="C51" i="15"/>
  <c r="W38" i="15"/>
  <c r="AC5" i="15"/>
  <c r="AH6" i="15"/>
  <c r="V10" i="15"/>
  <c r="AB12" i="15"/>
  <c r="AH14" i="15"/>
  <c r="V18" i="15"/>
  <c r="W19" i="15"/>
  <c r="AB20" i="15"/>
  <c r="AC21" i="15"/>
  <c r="AH22" i="15"/>
  <c r="V27" i="15"/>
  <c r="W28" i="15"/>
  <c r="AB29" i="15"/>
  <c r="AC30" i="15"/>
  <c r="AC31" i="15"/>
  <c r="AH32" i="15"/>
  <c r="V36" i="15"/>
  <c r="AC4" i="15"/>
  <c r="AH5" i="15"/>
  <c r="AI6" i="15"/>
  <c r="V9" i="15"/>
  <c r="W10" i="15"/>
  <c r="AB11" i="15"/>
  <c r="AC12" i="15"/>
  <c r="AH13" i="15"/>
  <c r="AI14" i="15"/>
  <c r="V17" i="15"/>
  <c r="W18" i="15"/>
  <c r="AB19" i="15"/>
  <c r="AC20" i="15"/>
  <c r="AH21" i="15"/>
  <c r="AI22" i="15"/>
  <c r="V25" i="15"/>
  <c r="V26" i="15"/>
  <c r="W27" i="15"/>
  <c r="AB28" i="15"/>
  <c r="AC29" i="15"/>
  <c r="AH30" i="15"/>
  <c r="AH31" i="15"/>
  <c r="AI32" i="15"/>
  <c r="V35" i="15"/>
  <c r="W36" i="15"/>
  <c r="AB37" i="15"/>
  <c r="AC38" i="15"/>
  <c r="W11" i="15"/>
  <c r="AC13" i="15"/>
  <c r="AB38" i="15"/>
  <c r="AB10" i="15"/>
  <c r="AH12" i="15"/>
  <c r="AB18" i="15"/>
  <c r="AH20" i="15"/>
  <c r="AB27" i="15"/>
  <c r="AH29" i="15"/>
  <c r="W35" i="15"/>
  <c r="AB36" i="15"/>
  <c r="AH38" i="15"/>
  <c r="W20" i="15"/>
  <c r="W29" i="15"/>
  <c r="AC10" i="15"/>
  <c r="AI12" i="15"/>
  <c r="AC18" i="15"/>
  <c r="AC27" i="15"/>
  <c r="AC36" i="15"/>
  <c r="C43" i="12" l="1"/>
  <c r="C34" i="12"/>
  <c r="C46" i="12" s="1"/>
  <c r="C35" i="12"/>
  <c r="C33" i="12"/>
  <c r="C48" i="12" s="1"/>
  <c r="C47" i="12" s="1"/>
  <c r="C44" i="12"/>
  <c r="B44" i="12"/>
  <c r="B43" i="12"/>
  <c r="C34" i="8"/>
  <c r="C35" i="8"/>
  <c r="C33" i="8" s="1"/>
  <c r="C45" i="8" s="1"/>
  <c r="C32" i="8"/>
  <c r="C46" i="8" s="1"/>
  <c r="B47" i="8" s="1"/>
  <c r="B46" i="8" l="1"/>
  <c r="B47" i="12"/>
  <c r="B48" i="12"/>
  <c r="C47" i="8"/>
  <c r="C36" i="1"/>
  <c r="C34" i="1" s="1"/>
  <c r="C46" i="1" s="1"/>
  <c r="C35" i="1" l="1"/>
  <c r="C33" i="1"/>
  <c r="C48" i="1" s="1"/>
  <c r="B48" i="1" s="1"/>
  <c r="I2" i="11"/>
  <c r="K2" i="11"/>
  <c r="P2" i="11" s="1"/>
  <c r="O2" i="11"/>
  <c r="R2" i="11"/>
  <c r="I3" i="11"/>
  <c r="K3" i="11"/>
  <c r="P3" i="11" s="1"/>
  <c r="O3" i="11"/>
  <c r="R3" i="11"/>
  <c r="I4" i="11"/>
  <c r="K4" i="11"/>
  <c r="P4" i="11" s="1"/>
  <c r="O4" i="11"/>
  <c r="R4" i="11"/>
  <c r="I5" i="11"/>
  <c r="K5" i="11"/>
  <c r="P5" i="11" s="1"/>
  <c r="O5" i="11"/>
  <c r="R5" i="11"/>
  <c r="I6" i="11"/>
  <c r="K6" i="11"/>
  <c r="P6" i="11" s="1"/>
  <c r="O6" i="11"/>
  <c r="R6" i="11"/>
  <c r="S6" i="11"/>
  <c r="I7" i="11"/>
  <c r="K7" i="11"/>
  <c r="P7" i="11" s="1"/>
  <c r="O7" i="11"/>
  <c r="R7" i="11"/>
  <c r="I8" i="11"/>
  <c r="K8" i="11"/>
  <c r="P8" i="11" s="1"/>
  <c r="O8" i="11"/>
  <c r="R8" i="11"/>
  <c r="I9" i="11"/>
  <c r="K9" i="11"/>
  <c r="O9" i="11"/>
  <c r="P9" i="11"/>
  <c r="R9" i="11"/>
  <c r="I10" i="11"/>
  <c r="K10" i="11"/>
  <c r="P10" i="11" s="1"/>
  <c r="O10" i="11"/>
  <c r="R10" i="11"/>
  <c r="I11" i="11"/>
  <c r="K11" i="11"/>
  <c r="P11" i="11" s="1"/>
  <c r="O11" i="11"/>
  <c r="R11" i="11"/>
  <c r="I12" i="11"/>
  <c r="K12" i="11"/>
  <c r="P12" i="11" s="1"/>
  <c r="O12" i="11"/>
  <c r="R12" i="11"/>
  <c r="I13" i="11"/>
  <c r="K13" i="11"/>
  <c r="P13" i="11" s="1"/>
  <c r="O13" i="11"/>
  <c r="R13" i="11"/>
  <c r="I14" i="11"/>
  <c r="K14" i="11"/>
  <c r="P14" i="11" s="1"/>
  <c r="O14" i="11"/>
  <c r="R14" i="11"/>
  <c r="I15" i="11"/>
  <c r="K15" i="11"/>
  <c r="P15" i="11" s="1"/>
  <c r="O15" i="11"/>
  <c r="R15" i="11"/>
  <c r="I16" i="11"/>
  <c r="K16" i="11"/>
  <c r="P16" i="11" s="1"/>
  <c r="O16" i="11"/>
  <c r="R16" i="11"/>
  <c r="F25" i="11"/>
  <c r="G25" i="11"/>
  <c r="F26" i="11"/>
  <c r="G26" i="11"/>
  <c r="F27" i="11"/>
  <c r="G27" i="11"/>
  <c r="F28" i="11"/>
  <c r="G28" i="11"/>
  <c r="F29" i="11"/>
  <c r="G29" i="11"/>
  <c r="L2" i="10"/>
  <c r="N2" i="10"/>
  <c r="S2" i="10" s="1"/>
  <c r="R2" i="10"/>
  <c r="U2" i="10"/>
  <c r="A2" i="10" s="1"/>
  <c r="C2" i="10" s="1"/>
  <c r="L3" i="10"/>
  <c r="N3" i="10"/>
  <c r="S3" i="10" s="1"/>
  <c r="R3" i="10"/>
  <c r="U3" i="10"/>
  <c r="A3" i="10" s="1"/>
  <c r="C3" i="10" s="1"/>
  <c r="L4" i="10"/>
  <c r="N4" i="10"/>
  <c r="S4" i="10" s="1"/>
  <c r="R4" i="10"/>
  <c r="U4" i="10"/>
  <c r="A4" i="10" s="1"/>
  <c r="C4" i="10" s="1"/>
  <c r="L5" i="10"/>
  <c r="N5" i="10"/>
  <c r="R5" i="10"/>
  <c r="R20" i="10" s="1"/>
  <c r="AB6" i="10" s="1"/>
  <c r="S5" i="10"/>
  <c r="U5" i="10"/>
  <c r="A5" i="10" s="1"/>
  <c r="C5" i="10" s="1"/>
  <c r="L6" i="10"/>
  <c r="N6" i="10"/>
  <c r="S6" i="10" s="1"/>
  <c r="R6" i="10"/>
  <c r="U6" i="10"/>
  <c r="A6" i="10" s="1"/>
  <c r="C6" i="10" s="1"/>
  <c r="L7" i="10"/>
  <c r="N7" i="10"/>
  <c r="S7" i="10" s="1"/>
  <c r="R7" i="10"/>
  <c r="U7" i="10"/>
  <c r="A7" i="10" s="1"/>
  <c r="C7" i="10" s="1"/>
  <c r="L8" i="10"/>
  <c r="N8" i="10"/>
  <c r="S8" i="10" s="1"/>
  <c r="R8" i="10"/>
  <c r="U8" i="10"/>
  <c r="X2" i="10" s="1"/>
  <c r="L9" i="10"/>
  <c r="N9" i="10"/>
  <c r="S9" i="10" s="1"/>
  <c r="R9" i="10"/>
  <c r="U9" i="10"/>
  <c r="A9" i="10" s="1"/>
  <c r="C9" i="10" s="1"/>
  <c r="L10" i="10"/>
  <c r="N10" i="10"/>
  <c r="R10" i="10"/>
  <c r="S10" i="10"/>
  <c r="U10" i="10"/>
  <c r="X4" i="10" s="1"/>
  <c r="L11" i="10"/>
  <c r="N11" i="10"/>
  <c r="S11" i="10" s="1"/>
  <c r="R11" i="10"/>
  <c r="U11" i="10"/>
  <c r="A11" i="10" s="1"/>
  <c r="C11" i="10" s="1"/>
  <c r="L12" i="10"/>
  <c r="N12" i="10"/>
  <c r="S12" i="10" s="1"/>
  <c r="R12" i="10"/>
  <c r="U12" i="10"/>
  <c r="A12" i="10" s="1"/>
  <c r="C12" i="10" s="1"/>
  <c r="L13" i="10"/>
  <c r="N13" i="10"/>
  <c r="S13" i="10" s="1"/>
  <c r="R13" i="10"/>
  <c r="U13" i="10"/>
  <c r="A13" i="10" s="1"/>
  <c r="C13" i="10" s="1"/>
  <c r="L14" i="10"/>
  <c r="N14" i="10"/>
  <c r="R14" i="10"/>
  <c r="S14" i="10"/>
  <c r="U14" i="10"/>
  <c r="A14" i="10" s="1"/>
  <c r="C14" i="10" s="1"/>
  <c r="L15" i="10"/>
  <c r="N15" i="10"/>
  <c r="S15" i="10" s="1"/>
  <c r="R15" i="10"/>
  <c r="U15" i="10"/>
  <c r="A15" i="10" s="1"/>
  <c r="C15" i="10" s="1"/>
  <c r="L16" i="10"/>
  <c r="N16" i="10"/>
  <c r="R16" i="10"/>
  <c r="V10" i="10" s="1"/>
  <c r="S16" i="10"/>
  <c r="U16" i="10"/>
  <c r="X10" i="10" s="1"/>
  <c r="L17" i="10"/>
  <c r="N17" i="10"/>
  <c r="S17" i="10" s="1"/>
  <c r="R17" i="10"/>
  <c r="U17" i="10"/>
  <c r="A17" i="10" s="1"/>
  <c r="C17" i="10" s="1"/>
  <c r="A18" i="10"/>
  <c r="C18" i="10" s="1"/>
  <c r="L18" i="10"/>
  <c r="N18" i="10"/>
  <c r="S18" i="10" s="1"/>
  <c r="R18" i="10"/>
  <c r="U18" i="10"/>
  <c r="L19" i="10"/>
  <c r="N19" i="10"/>
  <c r="S19" i="10" s="1"/>
  <c r="R19" i="10"/>
  <c r="U19" i="10"/>
  <c r="X13" i="10" s="1"/>
  <c r="I36" i="10"/>
  <c r="J36" i="10"/>
  <c r="I37" i="10"/>
  <c r="J37" i="10"/>
  <c r="I38" i="10"/>
  <c r="J38" i="10"/>
  <c r="I39" i="10"/>
  <c r="J39" i="10"/>
  <c r="I40" i="10"/>
  <c r="J40" i="10"/>
  <c r="R24" i="10" l="1"/>
  <c r="I18" i="11"/>
  <c r="V9" i="10"/>
  <c r="S11" i="11"/>
  <c r="S2" i="11"/>
  <c r="U24" i="10"/>
  <c r="R23" i="10"/>
  <c r="AC6" i="10" s="1"/>
  <c r="AB14" i="10" s="1"/>
  <c r="AB15" i="10" s="1"/>
  <c r="A16" i="10"/>
  <c r="C16" i="10" s="1"/>
  <c r="V8" i="10"/>
  <c r="X12" i="10"/>
  <c r="A10" i="10"/>
  <c r="C10" i="10" s="1"/>
  <c r="A19" i="10"/>
  <c r="C19" i="10" s="1"/>
  <c r="V5" i="10"/>
  <c r="R21" i="10"/>
  <c r="V4" i="10"/>
  <c r="U26" i="10"/>
  <c r="L21" i="10"/>
  <c r="V12" i="10"/>
  <c r="L20" i="10"/>
  <c r="AC5" i="10" s="1"/>
  <c r="S8" i="11"/>
  <c r="U27" i="10"/>
  <c r="V7" i="10"/>
  <c r="V3" i="10"/>
  <c r="S4" i="11"/>
  <c r="B47" i="1"/>
  <c r="C47" i="1"/>
  <c r="S5" i="11"/>
  <c r="O18" i="11"/>
  <c r="U8" i="11"/>
  <c r="U12" i="11" s="1"/>
  <c r="U11" i="11"/>
  <c r="U9" i="11"/>
  <c r="R17" i="11"/>
  <c r="U7" i="11"/>
  <c r="R18" i="11"/>
  <c r="S9" i="11"/>
  <c r="S10" i="11"/>
  <c r="R23" i="11"/>
  <c r="S7" i="11"/>
  <c r="O24" i="11"/>
  <c r="U10" i="11"/>
  <c r="I17" i="11"/>
  <c r="Z5" i="11" s="1"/>
  <c r="Y5" i="11"/>
  <c r="O23" i="11"/>
  <c r="R21" i="11"/>
  <c r="O17" i="11"/>
  <c r="Y6" i="11" s="1"/>
  <c r="O21" i="11"/>
  <c r="R24" i="11"/>
  <c r="O20" i="11"/>
  <c r="S3" i="11"/>
  <c r="R20" i="11"/>
  <c r="X6" i="10"/>
  <c r="V2" i="10"/>
  <c r="R26" i="10"/>
  <c r="U20" i="10"/>
  <c r="V6" i="10"/>
  <c r="X11" i="10"/>
  <c r="X7" i="10"/>
  <c r="V13" i="10"/>
  <c r="U23" i="10"/>
  <c r="V11" i="10"/>
  <c r="X5" i="10"/>
  <c r="X9" i="10"/>
  <c r="R27" i="10"/>
  <c r="U21" i="10"/>
  <c r="X8" i="10"/>
  <c r="A8" i="10"/>
  <c r="C8" i="10" s="1"/>
  <c r="X3" i="10"/>
  <c r="W13" i="10" l="1"/>
  <c r="T6" i="11"/>
  <c r="Y7" i="11"/>
  <c r="Z7" i="11" s="1"/>
  <c r="Y7" i="10"/>
  <c r="AB5" i="10"/>
  <c r="T11" i="11"/>
  <c r="P23" i="11" s="1"/>
  <c r="S23" i="11"/>
  <c r="Z6" i="11"/>
  <c r="W14" i="11" s="1"/>
  <c r="W15" i="11" s="1"/>
  <c r="AB7" i="10"/>
  <c r="AC7" i="10"/>
  <c r="W7" i="10"/>
  <c r="Y13" i="10"/>
  <c r="AD7" i="10" s="1"/>
  <c r="X14" i="10"/>
  <c r="AD6" i="10"/>
  <c r="S26" i="10"/>
  <c r="C41" i="8"/>
  <c r="B41" i="8"/>
  <c r="C40" i="8"/>
  <c r="B40" i="8"/>
  <c r="C17" i="8"/>
  <c r="AA6" i="11" l="1"/>
  <c r="AA5" i="11"/>
  <c r="C17" i="1"/>
  <c r="B44" i="1" l="1"/>
  <c r="C44" i="1"/>
</calcChain>
</file>

<file path=xl/comments1.xml><?xml version="1.0" encoding="utf-8"?>
<comments xmlns="http://schemas.openxmlformats.org/spreadsheetml/2006/main">
  <authors>
    <author>Ernesto Avedillo</author>
  </authors>
  <commentList>
    <comment ref="A16" authorId="0">
      <text>
        <r>
          <rPr>
            <b/>
            <sz val="8"/>
            <color indexed="81"/>
            <rFont val="Tahoma"/>
            <family val="2"/>
          </rPr>
          <t>Ernesto Avedillo:</t>
        </r>
        <r>
          <rPr>
            <sz val="8"/>
            <color indexed="81"/>
            <rFont val="Tahoma"/>
            <family val="2"/>
          </rPr>
          <t xml:space="preserve">
Hay 5 posibilidades de alimentar esta parte
Entrar 
1)N Y Nut
2)Nut y </t>
        </r>
        <r>
          <rPr>
            <sz val="8"/>
            <color indexed="81"/>
            <rFont val="Symbol"/>
            <family val="1"/>
            <charset val="2"/>
          </rPr>
          <t>g</t>
        </r>
        <r>
          <rPr>
            <sz val="8"/>
            <color indexed="81"/>
            <rFont val="Tahoma"/>
            <family val="2"/>
          </rPr>
          <t xml:space="preserve">
3)Nut y </t>
        </r>
        <r>
          <rPr>
            <sz val="8"/>
            <color indexed="81"/>
            <rFont val="Symbol"/>
            <family val="1"/>
            <charset val="2"/>
          </rPr>
          <t>a</t>
        </r>
        <r>
          <rPr>
            <sz val="8"/>
            <color indexed="81"/>
            <rFont val="Tahoma"/>
            <family val="2"/>
          </rPr>
          <t xml:space="preserve">
4)N y </t>
        </r>
        <r>
          <rPr>
            <sz val="8"/>
            <color indexed="81"/>
            <rFont val="Symbol"/>
            <family val="1"/>
            <charset val="2"/>
          </rPr>
          <t>g</t>
        </r>
        <r>
          <rPr>
            <sz val="8"/>
            <color indexed="81"/>
            <rFont val="Tahoma"/>
            <family val="2"/>
          </rPr>
          <t xml:space="preserve">
5)N y </t>
        </r>
        <r>
          <rPr>
            <sz val="8"/>
            <color indexed="81"/>
            <rFont val="Symbol"/>
            <family val="1"/>
            <charset val="2"/>
          </rPr>
          <t>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<sst xmlns="http://schemas.openxmlformats.org/spreadsheetml/2006/main" count="673" uniqueCount="266">
  <si>
    <t>Da</t>
  </si>
  <si>
    <t>Di</t>
  </si>
  <si>
    <t>Dm</t>
  </si>
  <si>
    <t>Lo</t>
  </si>
  <si>
    <t>L1</t>
  </si>
  <si>
    <t>Lb</t>
  </si>
  <si>
    <t>P1</t>
  </si>
  <si>
    <t>S</t>
  </si>
  <si>
    <t>Longitud de bloqueo</t>
  </si>
  <si>
    <t>C</t>
  </si>
  <si>
    <t>h</t>
  </si>
  <si>
    <t>d</t>
  </si>
  <si>
    <t>F1</t>
  </si>
  <si>
    <t>Nt</t>
  </si>
  <si>
    <t>Constante del muelle</t>
  </si>
  <si>
    <t>[mm]</t>
  </si>
  <si>
    <t>Flexibilidad del muelle</t>
  </si>
  <si>
    <t>Estado del Cálculo</t>
  </si>
  <si>
    <t>K</t>
  </si>
  <si>
    <t>Dm/d</t>
  </si>
  <si>
    <t>Estado Wahl</t>
  </si>
  <si>
    <t>Nut</t>
  </si>
  <si>
    <t>t</t>
  </si>
  <si>
    <t>Esfuerzo torsor del muelle</t>
  </si>
  <si>
    <t>Pb</t>
  </si>
  <si>
    <t>Esfuerzo de bloqueo</t>
  </si>
  <si>
    <t>Fb</t>
  </si>
  <si>
    <t>Recorrído de bloqueo</t>
  </si>
  <si>
    <t>Dab</t>
  </si>
  <si>
    <t>Diámetro exterior de bloqueo</t>
  </si>
  <si>
    <t>G</t>
  </si>
  <si>
    <t>LE</t>
  </si>
  <si>
    <t xml:space="preserve">E </t>
  </si>
  <si>
    <t>Resultado del cálculo</t>
  </si>
  <si>
    <t>Resultádo del Cálculo</t>
  </si>
  <si>
    <t>Valores relativos al diámetro</t>
  </si>
  <si>
    <t>Valores relativos al material</t>
  </si>
  <si>
    <t>L2</t>
  </si>
  <si>
    <t>P2</t>
  </si>
  <si>
    <t>F2</t>
  </si>
  <si>
    <t>t2</t>
  </si>
  <si>
    <t>[N/mm2]</t>
  </si>
  <si>
    <t>[N/mm]</t>
  </si>
  <si>
    <t>[mm/N]</t>
  </si>
  <si>
    <t>[N]</t>
  </si>
  <si>
    <t xml:space="preserve">± 0,003 </t>
  </si>
  <si>
    <t xml:space="preserve">± 0,004 </t>
  </si>
  <si>
    <t xml:space="preserve"> ± 0,008</t>
  </si>
  <si>
    <t xml:space="preserve">± 0,010 </t>
  </si>
  <si>
    <t xml:space="preserve">± 0,015 </t>
  </si>
  <si>
    <t xml:space="preserve">± 0,020 </t>
  </si>
  <si>
    <t xml:space="preserve">± 0,025 </t>
  </si>
  <si>
    <t xml:space="preserve">± 0,030 </t>
  </si>
  <si>
    <t xml:space="preserve">± 0,035 </t>
  </si>
  <si>
    <t xml:space="preserve"> ± 0,040 </t>
  </si>
  <si>
    <t xml:space="preserve">± 0,045 </t>
  </si>
  <si>
    <t xml:space="preserve">± 0,050 </t>
  </si>
  <si>
    <t xml:space="preserve">± 0,070 </t>
  </si>
  <si>
    <t xml:space="preserve">± 0,080 </t>
  </si>
  <si>
    <t xml:space="preserve">± 0,090 </t>
  </si>
  <si>
    <t xml:space="preserve">± 0,100 </t>
  </si>
  <si>
    <t>± 0,005</t>
  </si>
  <si>
    <t>SL</t>
  </si>
  <si>
    <t>SM</t>
  </si>
  <si>
    <t>DM</t>
  </si>
  <si>
    <t>SH</t>
  </si>
  <si>
    <t>DH</t>
  </si>
  <si>
    <t>Tolerancia</t>
  </si>
  <si>
    <t>Diámetros 
de hilo</t>
  </si>
  <si>
    <t>Tipos del 
Material</t>
  </si>
  <si>
    <t>Rm</t>
  </si>
  <si>
    <t>Calidad del material</t>
  </si>
  <si>
    <t>Corrector
Goodmann LE</t>
  </si>
  <si>
    <t>Corrector Goodman RM</t>
  </si>
  <si>
    <t>Corrector 
Goodmann RM =F*d+G</t>
  </si>
  <si>
    <t>Distribucion 
Goodmann En X=0 
=I*ln(d)+J</t>
  </si>
  <si>
    <t>TDC</t>
  </si>
  <si>
    <t>TDSiCrV</t>
  </si>
  <si>
    <t>TDSiCr</t>
  </si>
  <si>
    <t>TDCrV</t>
  </si>
  <si>
    <t>FDCrV</t>
  </si>
  <si>
    <t>FDSiCrV</t>
  </si>
  <si>
    <t>FDC</t>
  </si>
  <si>
    <t>FDSiCr</t>
  </si>
  <si>
    <t>X10CrNi18-8</t>
  </si>
  <si>
    <t>X5CrNiMo17-12-2</t>
  </si>
  <si>
    <t>X7CrNiAl17-7</t>
  </si>
  <si>
    <t>X5CrNi18-10</t>
  </si>
  <si>
    <t>VDC</t>
  </si>
  <si>
    <t>VDCrV</t>
  </si>
  <si>
    <t>VDSiCr</t>
  </si>
  <si>
    <t>VDSiCrV</t>
  </si>
  <si>
    <t>Long Hilo</t>
  </si>
  <si>
    <t>Material</t>
  </si>
  <si>
    <t>Pos 1</t>
  </si>
  <si>
    <t>Pos 2</t>
  </si>
  <si>
    <t>Travel Results</t>
  </si>
  <si>
    <t>Young modulus</t>
  </si>
  <si>
    <t>Torsion Modulus</t>
  </si>
  <si>
    <t>Yield Strength</t>
  </si>
  <si>
    <t xml:space="preserve">Result </t>
  </si>
  <si>
    <t>Resultados del muelle</t>
  </si>
  <si>
    <t>CS</t>
  </si>
  <si>
    <t>Si</t>
  </si>
  <si>
    <t>Parámetro A</t>
  </si>
  <si>
    <t xml:space="preserve">Pasrametro B </t>
  </si>
  <si>
    <t>Determinacion CS = 0,476</t>
  </si>
  <si>
    <t xml:space="preserve">Para DH </t>
  </si>
  <si>
    <t>Sin Shot Peening</t>
  </si>
  <si>
    <t>Pendiente</t>
  </si>
  <si>
    <t>Factor punto corte eje Y</t>
  </si>
  <si>
    <t>Diametro</t>
  </si>
  <si>
    <t>Shot peening</t>
  </si>
  <si>
    <t>Ciclos</t>
  </si>
  <si>
    <t>Punto K2MAx</t>
  </si>
  <si>
    <t>Punto cruce eje Y</t>
  </si>
  <si>
    <t>Punto cruce Eje X</t>
  </si>
  <si>
    <t xml:space="preserve">Parámetro B </t>
  </si>
  <si>
    <t>Para TD</t>
  </si>
  <si>
    <t>Tabla gráfico Goodman</t>
  </si>
  <si>
    <t>Corrector en Eje X0 = A*Rm+B
(A)</t>
  </si>
  <si>
    <t>=</t>
  </si>
  <si>
    <t>Corrector en Eje X0 = A*Rm+B
(B)</t>
  </si>
  <si>
    <t>Pendiente S2</t>
  </si>
  <si>
    <t>Parámetro Shot Peening</t>
  </si>
  <si>
    <t>Valor S2 en S1=0</t>
  </si>
  <si>
    <t>Shot Peening</t>
  </si>
  <si>
    <t>Ciclos vida</t>
  </si>
  <si>
    <t>No es posible el cálculo</t>
  </si>
  <si>
    <t>Programa de cálculo de Resortes Helicoidales de compresion de 2 constantes</t>
  </si>
  <si>
    <t xml:space="preserve">           Valores relativos al devanado</t>
  </si>
  <si>
    <t>Result</t>
  </si>
  <si>
    <t>Tipo de material</t>
  </si>
  <si>
    <t>Valores relativos al devanado</t>
  </si>
  <si>
    <t>Lc</t>
  </si>
  <si>
    <t>a</t>
  </si>
  <si>
    <t>mm</t>
  </si>
  <si>
    <t>Pi</t>
  </si>
  <si>
    <t>t1</t>
  </si>
  <si>
    <t>Lmax</t>
  </si>
  <si>
    <t>Goodman Diagramm</t>
  </si>
  <si>
    <t>Select spring to calculate.</t>
  </si>
  <si>
    <t>b</t>
  </si>
  <si>
    <t>Ancho</t>
  </si>
  <si>
    <t>I</t>
  </si>
  <si>
    <t>Momento de inercia de la sección</t>
  </si>
  <si>
    <t>Dm/d o Dm/b</t>
  </si>
  <si>
    <t>deg</t>
  </si>
  <si>
    <t>N(Entero)</t>
  </si>
  <si>
    <t>L.Hilo</t>
  </si>
  <si>
    <t>Rb1</t>
  </si>
  <si>
    <t>Rb2</t>
  </si>
  <si>
    <t>Resultados de esfuerzos del muelle</t>
  </si>
  <si>
    <t>[N.mm/rad]</t>
  </si>
  <si>
    <t>[rad/N.m]</t>
  </si>
  <si>
    <t>[N.mm/deg]</t>
  </si>
  <si>
    <t>b1</t>
  </si>
  <si>
    <t>[rad]</t>
  </si>
  <si>
    <t>[º]</t>
  </si>
  <si>
    <t>M1</t>
  </si>
  <si>
    <t>[N*mm]</t>
  </si>
  <si>
    <t>P1M1</t>
  </si>
  <si>
    <t>P2M1</t>
  </si>
  <si>
    <t>Di1</t>
  </si>
  <si>
    <t>Ancho1</t>
  </si>
  <si>
    <t>Resultado del Cálculo</t>
  </si>
  <si>
    <t>b2</t>
  </si>
  <si>
    <t>M2</t>
  </si>
  <si>
    <t>Di2</t>
  </si>
  <si>
    <t>Ancho2</t>
  </si>
  <si>
    <t>Circunferencia Reposo</t>
  </si>
  <si>
    <t>Pata 1</t>
  </si>
  <si>
    <t>Pata2</t>
  </si>
  <si>
    <t>Circunferencia Pos 1</t>
  </si>
  <si>
    <t>Circunferencia Pos 2</t>
  </si>
  <si>
    <t>Angulo</t>
  </si>
  <si>
    <t>Posx</t>
  </si>
  <si>
    <t>PosY</t>
  </si>
  <si>
    <t>Pos X</t>
  </si>
  <si>
    <t>Pos Y</t>
  </si>
  <si>
    <r>
      <t>[mm</t>
    </r>
    <r>
      <rPr>
        <vertAlign val="superscript"/>
        <sz val="10"/>
        <rFont val="Arial"/>
        <family val="2"/>
      </rPr>
      <t>4</t>
    </r>
    <r>
      <rPr>
        <sz val="10"/>
        <rFont val="Arial"/>
        <family val="2"/>
      </rPr>
      <t>]</t>
    </r>
  </si>
  <si>
    <t>g</t>
  </si>
  <si>
    <t>Goodmnan Diagram</t>
  </si>
  <si>
    <t>Travel results</t>
  </si>
  <si>
    <t>Compression spring</t>
  </si>
  <si>
    <t>Spring Geometry</t>
  </si>
  <si>
    <t>Wire diameter</t>
  </si>
  <si>
    <t>Outer diameter</t>
  </si>
  <si>
    <t>Inner diameter</t>
  </si>
  <si>
    <t>Pitch</t>
  </si>
  <si>
    <t>Free length</t>
  </si>
  <si>
    <t>Total number of coils</t>
  </si>
  <si>
    <t>Active coils</t>
  </si>
  <si>
    <t>Spring rate</t>
  </si>
  <si>
    <t>Mean diameter= /Da + Di)/2</t>
  </si>
  <si>
    <t>Ressage result</t>
  </si>
  <si>
    <t>Solid high</t>
  </si>
  <si>
    <t>Force at solid high</t>
  </si>
  <si>
    <t>Travel at solid High</t>
  </si>
  <si>
    <t>Outer diameter at solid high</t>
  </si>
  <si>
    <t>Wahl factor/ Spring index</t>
  </si>
  <si>
    <t xml:space="preserve">Tensile Strength </t>
  </si>
  <si>
    <t>Ultimate Tensile Strength</t>
  </si>
  <si>
    <t>Length for position 1</t>
  </si>
  <si>
    <t>Goodman Diagram</t>
  </si>
  <si>
    <t>Force at position 1</t>
  </si>
  <si>
    <t>Travel at position 1</t>
  </si>
  <si>
    <t>Length for position 2</t>
  </si>
  <si>
    <t>Force at position 2</t>
  </si>
  <si>
    <t>Travel at position 2</t>
  </si>
  <si>
    <t>Required cycles</t>
  </si>
  <si>
    <t>Ideal  Spring index is between 6 y 12</t>
  </si>
  <si>
    <t>Wahl factor corrector</t>
  </si>
  <si>
    <t>Tensile Strength for pos1</t>
  </si>
  <si>
    <t>Tensile Strength for pos2</t>
  </si>
  <si>
    <t>Only 2 cells can be filled</t>
  </si>
  <si>
    <t>Tabla curva esfuerzos</t>
  </si>
  <si>
    <t>Dibujo grafica</t>
  </si>
  <si>
    <t>Curva de esfuerzos</t>
  </si>
  <si>
    <t>Torsion spring</t>
  </si>
  <si>
    <t>Cycles required</t>
  </si>
  <si>
    <t>Body length</t>
  </si>
  <si>
    <t>Tension spring</t>
  </si>
  <si>
    <t>Winding values</t>
  </si>
  <si>
    <t>Results</t>
  </si>
  <si>
    <t>State</t>
  </si>
  <si>
    <t>Spring flexibility</t>
  </si>
  <si>
    <t>Initial force</t>
  </si>
  <si>
    <t>Max length</t>
  </si>
  <si>
    <t>Max deformation</t>
  </si>
  <si>
    <t>Max force</t>
  </si>
  <si>
    <t>Tension at max force</t>
  </si>
  <si>
    <t>Tabla de fuerzas</t>
  </si>
  <si>
    <t>Only for special ring (See picture)</t>
  </si>
  <si>
    <t>Please fill in only one cell from Nu, Lo or Lc</t>
  </si>
  <si>
    <t>Introduzca dos datos</t>
  </si>
  <si>
    <t xml:space="preserve">High </t>
  </si>
  <si>
    <t>Width</t>
  </si>
  <si>
    <t>Algle between legs</t>
  </si>
  <si>
    <t>Angle at starting legs (Tangency point)</t>
  </si>
  <si>
    <t xml:space="preserve">Number of complete coils </t>
  </si>
  <si>
    <t>Pitch (When needed)</t>
  </si>
  <si>
    <t>Nactive coils</t>
  </si>
  <si>
    <t>Wire length</t>
  </si>
  <si>
    <t>Width of spring</t>
  </si>
  <si>
    <t>Actuation radious for leg1</t>
  </si>
  <si>
    <t>Actuation radious for leg2</t>
  </si>
  <si>
    <t>Spring cnstant</t>
  </si>
  <si>
    <t>Spring constant</t>
  </si>
  <si>
    <t>Travel in deg for pos 1</t>
  </si>
  <si>
    <t>Travel in rad for pos 1</t>
  </si>
  <si>
    <t>Torque for pos1</t>
  </si>
  <si>
    <t>Force at leg 1 for pos 1</t>
  </si>
  <si>
    <t>Force at leg 2 for pos 1</t>
  </si>
  <si>
    <t>Tensions</t>
  </si>
  <si>
    <t>Diameter od the spring</t>
  </si>
  <si>
    <t>Width of the spring</t>
  </si>
  <si>
    <t>Travel in rad for pos 2</t>
  </si>
  <si>
    <t>Travel in deg for pos 2</t>
  </si>
  <si>
    <t>Torque for pos2</t>
  </si>
  <si>
    <t>Force at leg 1 for pos 2</t>
  </si>
  <si>
    <t>Force at leg 2 for pos 2</t>
  </si>
  <si>
    <t>Dm y Di have been defined</t>
  </si>
  <si>
    <t>Relation Dm/d is OK.</t>
  </si>
  <si>
    <t>Tensions seem to be OK. See Goodman diagram.</t>
  </si>
  <si>
    <t>Danger,Yield stress is passed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</si>
</sst>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* #,##0\ _€_-;\-* #,##0\ _€_-;_-* &quot;-&quot;??\ _€_-;_-@_-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Symbol"/>
      <family val="1"/>
      <charset val="2"/>
    </font>
    <font>
      <sz val="8"/>
      <name val="Arial"/>
      <family val="2"/>
    </font>
    <font>
      <b/>
      <u/>
      <sz val="12"/>
      <name val="Arial"/>
      <family val="2"/>
    </font>
    <font>
      <b/>
      <u/>
      <sz val="16"/>
      <name val="Arial"/>
      <family val="2"/>
    </font>
    <font>
      <b/>
      <u/>
      <sz val="14"/>
      <name val="Arial"/>
      <family val="2"/>
    </font>
    <font>
      <sz val="10"/>
      <color rgb="FF000000"/>
      <name val="Arial"/>
      <family val="2"/>
    </font>
    <font>
      <b/>
      <u/>
      <sz val="10"/>
      <name val="Arial"/>
      <family val="2"/>
    </font>
    <font>
      <u/>
      <sz val="14"/>
      <name val="Arial"/>
      <family val="2"/>
    </font>
    <font>
      <u/>
      <sz val="48"/>
      <name val="Arial"/>
      <family val="2"/>
    </font>
    <font>
      <vertAlign val="superscript"/>
      <sz val="10"/>
      <name val="Arial"/>
      <family val="2"/>
    </font>
    <font>
      <b/>
      <sz val="16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8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  <xf numFmtId="0" fontId="2" fillId="0" borderId="0"/>
  </cellStyleXfs>
  <cellXfs count="293">
    <xf numFmtId="0" fontId="0" fillId="0" borderId="0" xfId="0"/>
    <xf numFmtId="0" fontId="5" fillId="0" borderId="0" xfId="0" applyFont="1" applyAlignment="1">
      <alignment horizontal="center"/>
    </xf>
    <xf numFmtId="0" fontId="0" fillId="0" borderId="0" xfId="0" applyNumberFormat="1"/>
    <xf numFmtId="0" fontId="0" fillId="0" borderId="0" xfId="0" applyAlignment="1">
      <alignment wrapText="1"/>
    </xf>
    <xf numFmtId="0" fontId="8" fillId="0" borderId="0" xfId="0" applyFont="1" applyAlignment="1">
      <alignment horizontal="center" vertical="center" readingOrder="1"/>
    </xf>
    <xf numFmtId="11" fontId="0" fillId="0" borderId="0" xfId="0" applyNumberFormat="1"/>
    <xf numFmtId="164" fontId="0" fillId="0" borderId="0" xfId="2" applyNumberFormat="1" applyFont="1" applyAlignment="1">
      <alignment horizontal="right"/>
    </xf>
    <xf numFmtId="164" fontId="0" fillId="0" borderId="0" xfId="2" applyNumberFormat="1" applyFont="1"/>
    <xf numFmtId="0" fontId="0" fillId="0" borderId="0" xfId="0"/>
    <xf numFmtId="0" fontId="0" fillId="0" borderId="0" xfId="0" applyAlignment="1"/>
    <xf numFmtId="0" fontId="0" fillId="0" borderId="0" xfId="0"/>
    <xf numFmtId="0" fontId="7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6" fillId="0" borderId="0" xfId="0" applyFont="1" applyAlignment="1">
      <alignment vertical="center" wrapText="1"/>
    </xf>
    <xf numFmtId="0" fontId="0" fillId="0" borderId="4" xfId="0" applyBorder="1"/>
    <xf numFmtId="0" fontId="0" fillId="0" borderId="0" xfId="0" applyBorder="1"/>
    <xf numFmtId="2" fontId="0" fillId="2" borderId="0" xfId="0" applyNumberFormat="1" applyFill="1" applyBorder="1"/>
    <xf numFmtId="0" fontId="0" fillId="0" borderId="5" xfId="0" applyBorder="1"/>
    <xf numFmtId="2" fontId="0" fillId="0" borderId="0" xfId="0" applyNumberFormat="1" applyFill="1" applyBorder="1"/>
    <xf numFmtId="0" fontId="0" fillId="0" borderId="0" xfId="0" applyFill="1" applyBorder="1"/>
    <xf numFmtId="0" fontId="0" fillId="0" borderId="8" xfId="0" applyBorder="1"/>
    <xf numFmtId="0" fontId="0" fillId="0" borderId="6" xfId="0" applyBorder="1"/>
    <xf numFmtId="0" fontId="0" fillId="0" borderId="7" xfId="0" applyBorder="1"/>
    <xf numFmtId="0" fontId="9" fillId="0" borderId="4" xfId="0" applyFont="1" applyBorder="1"/>
    <xf numFmtId="0" fontId="0" fillId="2" borderId="0" xfId="0" applyFill="1" applyBorder="1"/>
    <xf numFmtId="0" fontId="3" fillId="0" borderId="4" xfId="0" applyFont="1" applyBorder="1"/>
    <xf numFmtId="0" fontId="2" fillId="0" borderId="0" xfId="0" applyFont="1" applyFill="1" applyBorder="1"/>
    <xf numFmtId="0" fontId="0" fillId="0" borderId="0" xfId="0" applyBorder="1" applyAlignment="1">
      <alignment horizontal="left"/>
    </xf>
    <xf numFmtId="11" fontId="0" fillId="0" borderId="0" xfId="0" applyNumberFormat="1" applyBorder="1"/>
    <xf numFmtId="164" fontId="0" fillId="0" borderId="0" xfId="2" applyNumberFormat="1" applyFont="1" applyBorder="1"/>
    <xf numFmtId="0" fontId="1" fillId="0" borderId="0" xfId="3"/>
    <xf numFmtId="0" fontId="1" fillId="0" borderId="0" xfId="3" applyFill="1" applyBorder="1"/>
    <xf numFmtId="0" fontId="1" fillId="0" borderId="8" xfId="3" applyBorder="1"/>
    <xf numFmtId="0" fontId="1" fillId="0" borderId="7" xfId="3" applyBorder="1"/>
    <xf numFmtId="0" fontId="1" fillId="0" borderId="6" xfId="3" applyBorder="1"/>
    <xf numFmtId="0" fontId="1" fillId="0" borderId="5" xfId="3" applyBorder="1"/>
    <xf numFmtId="0" fontId="1" fillId="0" borderId="0" xfId="3" applyBorder="1"/>
    <xf numFmtId="0" fontId="1" fillId="0" borderId="4" xfId="3" applyBorder="1"/>
    <xf numFmtId="0" fontId="1" fillId="0" borderId="3" xfId="3" applyBorder="1"/>
    <xf numFmtId="0" fontId="1" fillId="0" borderId="2" xfId="3" applyBorder="1"/>
    <xf numFmtId="0" fontId="1" fillId="0" borderId="1" xfId="3" applyBorder="1"/>
    <xf numFmtId="0" fontId="1" fillId="0" borderId="0" xfId="3" quotePrefix="1"/>
    <xf numFmtId="0" fontId="2" fillId="0" borderId="0" xfId="0" applyFont="1" applyAlignment="1">
      <alignment wrapText="1"/>
    </xf>
    <xf numFmtId="0" fontId="0" fillId="0" borderId="7" xfId="0" applyBorder="1"/>
    <xf numFmtId="0" fontId="0" fillId="0" borderId="4" xfId="0" applyBorder="1"/>
    <xf numFmtId="0" fontId="0" fillId="0" borderId="0" xfId="0" applyBorder="1"/>
    <xf numFmtId="0" fontId="0" fillId="0" borderId="6" xfId="0" applyBorder="1"/>
    <xf numFmtId="0" fontId="0" fillId="0" borderId="4" xfId="0" applyBorder="1"/>
    <xf numFmtId="0" fontId="0" fillId="0" borderId="0" xfId="0" applyBorder="1"/>
    <xf numFmtId="0" fontId="2" fillId="0" borderId="0" xfId="0" applyFont="1" applyBorder="1"/>
    <xf numFmtId="0" fontId="0" fillId="2" borderId="0" xfId="0" applyFill="1" applyBorder="1" applyAlignment="1"/>
    <xf numFmtId="0" fontId="0" fillId="0" borderId="4" xfId="0" applyBorder="1" applyAlignment="1">
      <alignment horizontal="center"/>
    </xf>
    <xf numFmtId="0" fontId="0" fillId="0" borderId="0" xfId="0" applyBorder="1"/>
    <xf numFmtId="0" fontId="2" fillId="0" borderId="0" xfId="0" applyFont="1"/>
    <xf numFmtId="11" fontId="2" fillId="0" borderId="0" xfId="0" applyNumberFormat="1" applyFont="1"/>
    <xf numFmtId="0" fontId="2" fillId="0" borderId="0" xfId="4"/>
    <xf numFmtId="0" fontId="2" fillId="0" borderId="0" xfId="4" applyFill="1"/>
    <xf numFmtId="0" fontId="2" fillId="0" borderId="4" xfId="4" applyBorder="1"/>
    <xf numFmtId="0" fontId="2" fillId="0" borderId="0" xfId="4" applyBorder="1"/>
    <xf numFmtId="0" fontId="2" fillId="0" borderId="5" xfId="4" applyBorder="1"/>
    <xf numFmtId="2" fontId="2" fillId="2" borderId="0" xfId="4" applyNumberFormat="1" applyFill="1" applyBorder="1"/>
    <xf numFmtId="2" fontId="2" fillId="0" borderId="0" xfId="4" applyNumberFormat="1" applyFill="1" applyBorder="1"/>
    <xf numFmtId="0" fontId="2" fillId="0" borderId="0" xfId="4" applyFill="1" applyBorder="1"/>
    <xf numFmtId="0" fontId="2" fillId="2" borderId="0" xfId="4" applyFill="1" applyBorder="1"/>
    <xf numFmtId="0" fontId="2" fillId="0" borderId="4" xfId="4" applyBorder="1"/>
    <xf numFmtId="0" fontId="2" fillId="0" borderId="0" xfId="4" applyBorder="1"/>
    <xf numFmtId="0" fontId="3" fillId="0" borderId="4" xfId="4" applyFont="1" applyBorder="1"/>
    <xf numFmtId="0" fontId="2" fillId="0" borderId="4" xfId="4" applyFont="1" applyBorder="1"/>
    <xf numFmtId="0" fontId="2" fillId="0" borderId="6" xfId="4" applyBorder="1"/>
    <xf numFmtId="0" fontId="2" fillId="0" borderId="7" xfId="4" applyBorder="1"/>
    <xf numFmtId="11" fontId="2" fillId="0" borderId="0" xfId="4" applyNumberFormat="1"/>
    <xf numFmtId="0" fontId="2" fillId="0" borderId="0" xfId="4" applyProtection="1"/>
    <xf numFmtId="0" fontId="2" fillId="0" borderId="0" xfId="4" applyFont="1" applyProtection="1"/>
    <xf numFmtId="0" fontId="2" fillId="0" borderId="0" xfId="4" applyFill="1" applyBorder="1" applyProtection="1"/>
    <xf numFmtId="2" fontId="2" fillId="0" borderId="0" xfId="4" applyNumberFormat="1" applyFont="1" applyProtection="1"/>
    <xf numFmtId="0" fontId="7" fillId="0" borderId="2" xfId="4" applyFont="1" applyBorder="1" applyAlignment="1" applyProtection="1"/>
    <xf numFmtId="0" fontId="7" fillId="0" borderId="3" xfId="4" applyFont="1" applyBorder="1" applyAlignment="1" applyProtection="1"/>
    <xf numFmtId="0" fontId="2" fillId="0" borderId="4" xfId="4" applyBorder="1" applyProtection="1"/>
    <xf numFmtId="0" fontId="2" fillId="0" borderId="0" xfId="4" applyBorder="1" applyProtection="1"/>
    <xf numFmtId="0" fontId="2" fillId="0" borderId="5" xfId="4" applyBorder="1" applyProtection="1"/>
    <xf numFmtId="2" fontId="2" fillId="2" borderId="0" xfId="4" applyNumberFormat="1" applyFill="1" applyBorder="1" applyProtection="1">
      <protection locked="0"/>
    </xf>
    <xf numFmtId="2" fontId="2" fillId="0" borderId="0" xfId="4" applyNumberFormat="1" applyFill="1" applyBorder="1" applyProtection="1"/>
    <xf numFmtId="0" fontId="2" fillId="0" borderId="0" xfId="4" applyFont="1" applyBorder="1" applyProtection="1"/>
    <xf numFmtId="0" fontId="2" fillId="0" borderId="0" xfId="4" applyBorder="1" applyProtection="1">
      <protection locked="0"/>
    </xf>
    <xf numFmtId="0" fontId="2" fillId="0" borderId="6" xfId="4" applyBorder="1" applyProtection="1"/>
    <xf numFmtId="0" fontId="2" fillId="0" borderId="7" xfId="4" applyBorder="1" applyProtection="1"/>
    <xf numFmtId="0" fontId="2" fillId="0" borderId="8" xfId="4" applyBorder="1" applyProtection="1"/>
    <xf numFmtId="0" fontId="3" fillId="0" borderId="4" xfId="4" applyFont="1" applyBorder="1" applyProtection="1"/>
    <xf numFmtId="0" fontId="2" fillId="2" borderId="0" xfId="4" applyFill="1" applyBorder="1" applyProtection="1">
      <protection locked="0"/>
    </xf>
    <xf numFmtId="0" fontId="2" fillId="0" borderId="0" xfId="4" applyFill="1" applyBorder="1" applyProtection="1">
      <protection locked="0"/>
    </xf>
    <xf numFmtId="0" fontId="2" fillId="2" borderId="0" xfId="4" applyFill="1" applyBorder="1" applyProtection="1"/>
    <xf numFmtId="0" fontId="2" fillId="0" borderId="4" xfId="4" applyFont="1" applyBorder="1" applyProtection="1"/>
    <xf numFmtId="2" fontId="2" fillId="2" borderId="0" xfId="4" applyNumberFormat="1" applyFill="1" applyBorder="1" applyProtection="1"/>
    <xf numFmtId="0" fontId="2" fillId="0" borderId="6" xfId="4" applyFont="1" applyBorder="1" applyProtection="1"/>
    <xf numFmtId="0" fontId="2" fillId="0" borderId="7" xfId="4" applyFont="1" applyBorder="1" applyProtection="1"/>
    <xf numFmtId="11" fontId="2" fillId="0" borderId="0" xfId="4" applyNumberFormat="1" applyBorder="1"/>
    <xf numFmtId="0" fontId="2" fillId="0" borderId="2" xfId="4" applyBorder="1" applyProtection="1"/>
    <xf numFmtId="0" fontId="2" fillId="0" borderId="3" xfId="4" applyBorder="1" applyProtection="1"/>
    <xf numFmtId="0" fontId="2" fillId="0" borderId="0" xfId="4" applyBorder="1" applyAlignment="1" applyProtection="1">
      <alignment wrapText="1"/>
    </xf>
    <xf numFmtId="11" fontId="2" fillId="0" borderId="0" xfId="4" applyNumberFormat="1" applyProtection="1"/>
    <xf numFmtId="0" fontId="0" fillId="0" borderId="0" xfId="0" applyBorder="1"/>
    <xf numFmtId="0" fontId="0" fillId="0" borderId="5" xfId="0" applyBorder="1"/>
    <xf numFmtId="0" fontId="0" fillId="0" borderId="0" xfId="0" applyFill="1" applyBorder="1"/>
    <xf numFmtId="0" fontId="0" fillId="0" borderId="12" xfId="0" applyBorder="1"/>
    <xf numFmtId="0" fontId="7" fillId="0" borderId="13" xfId="0" applyFont="1" applyBorder="1" applyAlignment="1">
      <alignment vertical="center"/>
    </xf>
    <xf numFmtId="0" fontId="0" fillId="0" borderId="4" xfId="0" applyBorder="1"/>
    <xf numFmtId="0" fontId="0" fillId="0" borderId="0" xfId="0" applyBorder="1"/>
    <xf numFmtId="0" fontId="7" fillId="0" borderId="1" xfId="0" applyFont="1" applyBorder="1" applyAlignment="1"/>
    <xf numFmtId="0" fontId="7" fillId="0" borderId="2" xfId="0" applyFont="1" applyBorder="1" applyAlignment="1"/>
    <xf numFmtId="0" fontId="0" fillId="0" borderId="7" xfId="0" applyBorder="1"/>
    <xf numFmtId="0" fontId="0" fillId="0" borderId="6" xfId="0" applyBorder="1"/>
    <xf numFmtId="0" fontId="2" fillId="0" borderId="4" xfId="0" applyFont="1" applyBorder="1"/>
    <xf numFmtId="0" fontId="0" fillId="0" borderId="5" xfId="0" applyBorder="1"/>
    <xf numFmtId="0" fontId="0" fillId="0" borderId="8" xfId="0" applyBorder="1"/>
    <xf numFmtId="0" fontId="2" fillId="0" borderId="4" xfId="4" applyBorder="1"/>
    <xf numFmtId="0" fontId="2" fillId="0" borderId="0" xfId="4" applyBorder="1"/>
    <xf numFmtId="0" fontId="2" fillId="0" borderId="6" xfId="4" applyBorder="1" applyProtection="1"/>
    <xf numFmtId="0" fontId="2" fillId="0" borderId="7" xfId="4" applyBorder="1" applyProtection="1"/>
    <xf numFmtId="0" fontId="2" fillId="0" borderId="4" xfId="4" applyBorder="1" applyProtection="1"/>
    <xf numFmtId="0" fontId="2" fillId="0" borderId="0" xfId="4" applyBorder="1" applyProtection="1"/>
    <xf numFmtId="0" fontId="2" fillId="0" borderId="5" xfId="4" applyBorder="1" applyProtection="1"/>
    <xf numFmtId="0" fontId="7" fillId="0" borderId="4" xfId="0" applyFont="1" applyBorder="1" applyAlignment="1">
      <alignment vertical="center"/>
    </xf>
    <xf numFmtId="0" fontId="0" fillId="0" borderId="4" xfId="0" applyBorder="1" applyAlignment="1"/>
    <xf numFmtId="164" fontId="2" fillId="0" borderId="0" xfId="2" applyNumberFormat="1" applyFont="1"/>
    <xf numFmtId="164" fontId="2" fillId="0" borderId="0" xfId="2" applyNumberFormat="1" applyFont="1" applyAlignment="1">
      <alignment horizontal="right"/>
    </xf>
    <xf numFmtId="0" fontId="6" fillId="0" borderId="2" xfId="0" applyFont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6" fillId="0" borderId="3" xfId="0" applyFont="1" applyBorder="1" applyAlignment="1">
      <alignment vertical="center" wrapText="1"/>
    </xf>
    <xf numFmtId="0" fontId="2" fillId="0" borderId="4" xfId="0" applyFont="1" applyBorder="1" applyAlignment="1"/>
    <xf numFmtId="0" fontId="7" fillId="0" borderId="4" xfId="0" applyFont="1" applyBorder="1" applyAlignment="1"/>
    <xf numFmtId="0" fontId="7" fillId="0" borderId="0" xfId="0" applyFont="1" applyBorder="1" applyAlignment="1"/>
    <xf numFmtId="0" fontId="7" fillId="0" borderId="5" xfId="0" applyFont="1" applyBorder="1" applyAlignment="1"/>
    <xf numFmtId="0" fontId="2" fillId="0" borderId="5" xfId="0" applyFont="1" applyBorder="1" applyAlignment="1"/>
    <xf numFmtId="0" fontId="0" fillId="0" borderId="5" xfId="0" applyBorder="1" applyAlignment="1">
      <alignment horizontal="left"/>
    </xf>
    <xf numFmtId="0" fontId="0" fillId="0" borderId="4" xfId="0" applyFill="1" applyBorder="1" applyAlignment="1"/>
    <xf numFmtId="0" fontId="0" fillId="0" borderId="4" xfId="0" applyBorder="1"/>
    <xf numFmtId="0" fontId="0" fillId="0" borderId="0" xfId="0" applyBorder="1"/>
    <xf numFmtId="0" fontId="0" fillId="0" borderId="0" xfId="0" applyFill="1" applyBorder="1"/>
    <xf numFmtId="0" fontId="2" fillId="0" borderId="4" xfId="4" applyBorder="1"/>
    <xf numFmtId="0" fontId="2" fillId="0" borderId="0" xfId="4" applyBorder="1"/>
    <xf numFmtId="0" fontId="2" fillId="0" borderId="5" xfId="4" applyBorder="1"/>
    <xf numFmtId="0" fontId="2" fillId="0" borderId="6" xfId="4" applyBorder="1"/>
    <xf numFmtId="0" fontId="2" fillId="0" borderId="7" xfId="4" applyBorder="1"/>
    <xf numFmtId="0" fontId="2" fillId="0" borderId="8" xfId="4" applyBorder="1"/>
    <xf numFmtId="0" fontId="2" fillId="0" borderId="5" xfId="4" applyFill="1" applyBorder="1"/>
    <xf numFmtId="0" fontId="6" fillId="0" borderId="2" xfId="4" applyFont="1" applyBorder="1" applyAlignment="1" applyProtection="1">
      <alignment vertical="center" wrapText="1"/>
    </xf>
    <xf numFmtId="0" fontId="13" fillId="0" borderId="0" xfId="4" applyFont="1" applyBorder="1" applyAlignment="1" applyProtection="1"/>
    <xf numFmtId="0" fontId="6" fillId="0" borderId="1" xfId="4" applyFont="1" applyBorder="1" applyAlignment="1" applyProtection="1">
      <alignment vertical="center" wrapText="1"/>
    </xf>
    <xf numFmtId="0" fontId="6" fillId="0" borderId="3" xfId="4" applyFont="1" applyBorder="1" applyAlignment="1" applyProtection="1">
      <alignment vertical="center" wrapText="1"/>
    </xf>
    <xf numFmtId="0" fontId="2" fillId="0" borderId="4" xfId="4" applyBorder="1" applyAlignment="1"/>
    <xf numFmtId="0" fontId="2" fillId="0" borderId="4" xfId="0" applyFont="1" applyBorder="1" applyAlignment="1">
      <alignment horizontal="left"/>
    </xf>
    <xf numFmtId="0" fontId="7" fillId="0" borderId="0" xfId="4" applyFont="1" applyBorder="1" applyAlignment="1"/>
    <xf numFmtId="0" fontId="6" fillId="0" borderId="1" xfId="4" applyFont="1" applyBorder="1" applyAlignment="1">
      <alignment vertical="center" wrapText="1"/>
    </xf>
    <xf numFmtId="0" fontId="6" fillId="0" borderId="2" xfId="4" applyFont="1" applyBorder="1" applyAlignment="1">
      <alignment vertical="center" wrapText="1"/>
    </xf>
    <xf numFmtId="0" fontId="6" fillId="0" borderId="3" xfId="4" applyFont="1" applyBorder="1" applyAlignment="1">
      <alignment vertical="center" wrapText="1"/>
    </xf>
    <xf numFmtId="0" fontId="7" fillId="0" borderId="4" xfId="4" applyFont="1" applyBorder="1" applyAlignment="1"/>
    <xf numFmtId="0" fontId="7" fillId="0" borderId="5" xfId="4" applyFont="1" applyBorder="1" applyAlignment="1"/>
    <xf numFmtId="2" fontId="0" fillId="2" borderId="0" xfId="1" applyNumberFormat="1" applyFont="1" applyFill="1" applyBorder="1"/>
    <xf numFmtId="0" fontId="2" fillId="0" borderId="4" xfId="4" applyFill="1" applyBorder="1"/>
    <xf numFmtId="2" fontId="0" fillId="2" borderId="0" xfId="1" applyNumberFormat="1" applyFont="1" applyFill="1" applyBorder="1" applyProtection="1">
      <protection locked="0"/>
    </xf>
    <xf numFmtId="2" fontId="2" fillId="2" borderId="0" xfId="4" applyNumberFormat="1" applyFont="1" applyFill="1" applyBorder="1" applyProtection="1">
      <protection locked="0"/>
    </xf>
    <xf numFmtId="0" fontId="0" fillId="0" borderId="0" xfId="0" applyBorder="1"/>
    <xf numFmtId="0" fontId="2" fillId="0" borderId="0" xfId="4" applyBorder="1" applyProtection="1"/>
    <xf numFmtId="0" fontId="2" fillId="0" borderId="5" xfId="4" applyBorder="1" applyProtection="1"/>
    <xf numFmtId="0" fontId="2" fillId="0" borderId="0" xfId="4" applyFill="1" applyBorder="1" applyProtection="1"/>
    <xf numFmtId="0" fontId="0" fillId="0" borderId="0" xfId="0" applyFill="1" applyBorder="1" applyAlignment="1"/>
    <xf numFmtId="0" fontId="0" fillId="3" borderId="0" xfId="0" applyFill="1" applyBorder="1" applyAlignment="1"/>
    <xf numFmtId="0" fontId="0" fillId="3" borderId="0" xfId="0" applyFill="1" applyBorder="1"/>
    <xf numFmtId="0" fontId="0" fillId="3" borderId="0" xfId="0" applyFill="1" applyBorder="1"/>
    <xf numFmtId="0" fontId="0" fillId="0" borderId="0" xfId="0" applyFill="1" applyBorder="1"/>
    <xf numFmtId="2" fontId="0" fillId="3" borderId="0" xfId="1" applyNumberFormat="1" applyFont="1" applyFill="1" applyBorder="1"/>
    <xf numFmtId="2" fontId="0" fillId="3" borderId="0" xfId="0" applyNumberFormat="1" applyFill="1" applyBorder="1"/>
    <xf numFmtId="0" fontId="11" fillId="0" borderId="0" xfId="0" applyFont="1" applyAlignment="1">
      <alignment horizontal="center"/>
    </xf>
    <xf numFmtId="0" fontId="6" fillId="0" borderId="9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9" fillId="0" borderId="1" xfId="0" applyFont="1" applyBorder="1" applyAlignment="1">
      <alignment horizontal="left"/>
    </xf>
    <xf numFmtId="0" fontId="9" fillId="0" borderId="2" xfId="0" applyFont="1" applyBorder="1" applyAlignment="1">
      <alignment horizontal="left"/>
    </xf>
    <xf numFmtId="0" fontId="7" fillId="0" borderId="1" xfId="0" applyFont="1" applyBorder="1" applyAlignment="1"/>
    <xf numFmtId="0" fontId="7" fillId="0" borderId="2" xfId="0" applyFont="1" applyBorder="1" applyAlignment="1"/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0" fillId="3" borderId="0" xfId="0" applyFill="1" applyBorder="1" applyAlignment="1">
      <alignment horizontal="center"/>
    </xf>
    <xf numFmtId="44" fontId="0" fillId="3" borderId="0" xfId="1" applyFont="1" applyFill="1" applyBorder="1" applyAlignment="1">
      <alignment horizontal="left"/>
    </xf>
    <xf numFmtId="44" fontId="0" fillId="0" borderId="0" xfId="1" applyFont="1" applyFill="1" applyBorder="1" applyAlignment="1">
      <alignment horizontal="left"/>
    </xf>
    <xf numFmtId="0" fontId="0" fillId="3" borderId="7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7" fillId="0" borderId="2" xfId="0" applyFont="1" applyBorder="1" applyAlignment="1">
      <alignment horizontal="left" vertical="center"/>
    </xf>
    <xf numFmtId="0" fontId="0" fillId="3" borderId="7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10" fillId="0" borderId="0" xfId="0" applyFont="1" applyAlignment="1">
      <alignment horizontal="center"/>
    </xf>
    <xf numFmtId="0" fontId="2" fillId="0" borderId="6" xfId="0" applyFont="1" applyBorder="1"/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4" borderId="7" xfId="0" applyFill="1" applyBorder="1"/>
    <xf numFmtId="0" fontId="0" fillId="3" borderId="7" xfId="0" applyFill="1" applyBorder="1"/>
    <xf numFmtId="0" fontId="0" fillId="0" borderId="8" xfId="0" applyBorder="1"/>
    <xf numFmtId="0" fontId="0" fillId="3" borderId="0" xfId="0" applyFill="1" applyBorder="1" applyAlignment="1"/>
    <xf numFmtId="0" fontId="0" fillId="0" borderId="0" xfId="0" applyFill="1" applyBorder="1" applyAlignment="1"/>
    <xf numFmtId="44" fontId="0" fillId="3" borderId="0" xfId="1" applyFont="1" applyFill="1" applyBorder="1"/>
    <xf numFmtId="44" fontId="0" fillId="4" borderId="5" xfId="1" applyFont="1" applyFill="1" applyBorder="1"/>
    <xf numFmtId="0" fontId="0" fillId="3" borderId="0" xfId="0" applyFill="1" applyBorder="1"/>
    <xf numFmtId="0" fontId="0" fillId="0" borderId="5" xfId="0" applyBorder="1"/>
    <xf numFmtId="0" fontId="0" fillId="0" borderId="0" xfId="0" applyFill="1" applyBorder="1"/>
    <xf numFmtId="0" fontId="0" fillId="0" borderId="0" xfId="0" applyAlignment="1">
      <alignment horizontal="center"/>
    </xf>
    <xf numFmtId="0" fontId="7" fillId="0" borderId="10" xfId="0" applyFont="1" applyBorder="1" applyAlignment="1"/>
    <xf numFmtId="0" fontId="7" fillId="0" borderId="11" xfId="0" applyFont="1" applyBorder="1" applyAlignme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2" fontId="0" fillId="3" borderId="0" xfId="1" applyNumberFormat="1" applyFont="1" applyFill="1" applyBorder="1" applyAlignment="1">
      <alignment horizontal="center"/>
    </xf>
    <xf numFmtId="2" fontId="0" fillId="3" borderId="0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7" fillId="0" borderId="2" xfId="0" applyFont="1" applyBorder="1" applyAlignment="1">
      <alignment horizontal="left"/>
    </xf>
    <xf numFmtId="0" fontId="7" fillId="3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6" fillId="0" borderId="6" xfId="4" applyFont="1" applyBorder="1" applyAlignment="1">
      <alignment horizontal="center" vertical="center" wrapText="1"/>
    </xf>
    <xf numFmtId="0" fontId="6" fillId="0" borderId="7" xfId="4" applyFont="1" applyBorder="1" applyAlignment="1">
      <alignment horizontal="center" vertical="center" wrapText="1"/>
    </xf>
    <xf numFmtId="0" fontId="2" fillId="0" borderId="12" xfId="4" applyBorder="1" applyAlignment="1">
      <alignment horizontal="center"/>
    </xf>
    <xf numFmtId="0" fontId="2" fillId="0" borderId="13" xfId="4" applyBorder="1" applyAlignment="1">
      <alignment horizontal="center"/>
    </xf>
    <xf numFmtId="0" fontId="7" fillId="0" borderId="9" xfId="4" applyFont="1" applyBorder="1" applyAlignment="1"/>
    <xf numFmtId="0" fontId="7" fillId="0" borderId="10" xfId="4" applyFont="1" applyBorder="1" applyAlignment="1"/>
    <xf numFmtId="0" fontId="7" fillId="0" borderId="11" xfId="4" applyFont="1" applyBorder="1" applyAlignment="1"/>
    <xf numFmtId="0" fontId="2" fillId="0" borderId="6" xfId="4" applyBorder="1"/>
    <xf numFmtId="0" fontId="2" fillId="0" borderId="7" xfId="4" applyBorder="1"/>
    <xf numFmtId="0" fontId="2" fillId="0" borderId="7" xfId="4" applyFill="1" applyBorder="1"/>
    <xf numFmtId="0" fontId="2" fillId="0" borderId="8" xfId="4" applyBorder="1"/>
    <xf numFmtId="0" fontId="7" fillId="0" borderId="1" xfId="4" applyFont="1" applyBorder="1" applyAlignment="1"/>
    <xf numFmtId="0" fontId="7" fillId="0" borderId="2" xfId="4" applyFont="1" applyBorder="1" applyAlignment="1"/>
    <xf numFmtId="0" fontId="7" fillId="0" borderId="2" xfId="4" applyFont="1" applyFill="1" applyBorder="1" applyAlignment="1"/>
    <xf numFmtId="0" fontId="2" fillId="0" borderId="4" xfId="4" applyBorder="1" applyAlignment="1">
      <alignment horizontal="center"/>
    </xf>
    <xf numFmtId="0" fontId="2" fillId="0" borderId="0" xfId="4" applyBorder="1" applyAlignment="1">
      <alignment horizontal="center"/>
    </xf>
    <xf numFmtId="0" fontId="7" fillId="0" borderId="3" xfId="4" applyFont="1" applyBorder="1" applyAlignment="1"/>
    <xf numFmtId="0" fontId="2" fillId="0" borderId="4" xfId="4" applyBorder="1"/>
    <xf numFmtId="0" fontId="2" fillId="0" borderId="0" xfId="4" applyBorder="1"/>
    <xf numFmtId="0" fontId="2" fillId="0" borderId="0" xfId="4" applyFill="1" applyBorder="1"/>
    <xf numFmtId="0" fontId="2" fillId="0" borderId="5" xfId="4" applyBorder="1"/>
    <xf numFmtId="0" fontId="5" fillId="0" borderId="1" xfId="4" applyFont="1" applyBorder="1" applyAlignment="1">
      <alignment horizontal="left"/>
    </xf>
    <xf numFmtId="0" fontId="5" fillId="0" borderId="2" xfId="4" applyFont="1" applyBorder="1" applyAlignment="1">
      <alignment horizontal="left"/>
    </xf>
    <xf numFmtId="0" fontId="5" fillId="0" borderId="3" xfId="4" applyFont="1" applyBorder="1" applyAlignment="1">
      <alignment horizontal="left"/>
    </xf>
    <xf numFmtId="44" fontId="0" fillId="0" borderId="0" xfId="1" applyFont="1" applyFill="1" applyBorder="1"/>
    <xf numFmtId="0" fontId="7" fillId="0" borderId="4" xfId="4" applyFont="1" applyBorder="1" applyAlignment="1">
      <alignment horizontal="center"/>
    </xf>
    <xf numFmtId="0" fontId="7" fillId="0" borderId="0" xfId="4" applyFont="1" applyBorder="1" applyAlignment="1">
      <alignment horizontal="center"/>
    </xf>
    <xf numFmtId="0" fontId="7" fillId="0" borderId="0" xfId="4" applyFont="1" applyFill="1" applyBorder="1" applyAlignment="1">
      <alignment horizontal="center"/>
    </xf>
    <xf numFmtId="0" fontId="2" fillId="0" borderId="0" xfId="4" applyAlignment="1">
      <alignment horizontal="center"/>
    </xf>
    <xf numFmtId="11" fontId="0" fillId="0" borderId="0" xfId="0" applyNumberFormat="1" applyBorder="1" applyAlignment="1">
      <alignment horizontal="center"/>
    </xf>
    <xf numFmtId="0" fontId="2" fillId="0" borderId="0" xfId="4" applyFill="1" applyBorder="1" applyAlignment="1">
      <alignment horizontal="center"/>
    </xf>
    <xf numFmtId="0" fontId="2" fillId="3" borderId="0" xfId="4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2" fillId="0" borderId="0" xfId="4" applyAlignment="1" applyProtection="1">
      <alignment horizontal="center"/>
    </xf>
    <xf numFmtId="0" fontId="7" fillId="0" borderId="1" xfId="4" applyFont="1" applyBorder="1" applyAlignment="1" applyProtection="1"/>
    <xf numFmtId="0" fontId="7" fillId="0" borderId="2" xfId="4" applyFont="1" applyBorder="1" applyAlignment="1" applyProtection="1"/>
    <xf numFmtId="0" fontId="7" fillId="0" borderId="4" xfId="4" applyFont="1" applyBorder="1" applyAlignment="1" applyProtection="1"/>
    <xf numFmtId="0" fontId="7" fillId="0" borderId="0" xfId="4" applyFont="1" applyBorder="1" applyAlignment="1" applyProtection="1"/>
    <xf numFmtId="0" fontId="7" fillId="0" borderId="1" xfId="4" applyFont="1" applyBorder="1" applyAlignment="1" applyProtection="1">
      <alignment horizontal="center"/>
    </xf>
    <xf numFmtId="0" fontId="7" fillId="0" borderId="2" xfId="4" applyFont="1" applyBorder="1" applyAlignment="1" applyProtection="1">
      <alignment horizontal="center"/>
    </xf>
    <xf numFmtId="0" fontId="2" fillId="0" borderId="4" xfId="4" applyBorder="1" applyAlignment="1">
      <alignment horizontal="left"/>
    </xf>
    <xf numFmtId="0" fontId="2" fillId="0" borderId="0" xfId="4" applyBorder="1" applyAlignment="1">
      <alignment horizontal="left"/>
    </xf>
    <xf numFmtId="0" fontId="6" fillId="0" borderId="9" xfId="4" applyFont="1" applyBorder="1" applyAlignment="1" applyProtection="1">
      <alignment horizontal="center" vertical="center" wrapText="1"/>
    </xf>
    <xf numFmtId="0" fontId="6" fillId="0" borderId="10" xfId="4" applyFont="1" applyBorder="1" applyAlignment="1" applyProtection="1">
      <alignment horizontal="center" vertical="center" wrapText="1"/>
    </xf>
    <xf numFmtId="0" fontId="2" fillId="0" borderId="12" xfId="4" applyBorder="1" applyAlignment="1" applyProtection="1">
      <alignment horizontal="center"/>
    </xf>
    <xf numFmtId="0" fontId="2" fillId="0" borderId="13" xfId="4" applyBorder="1" applyAlignment="1" applyProtection="1">
      <alignment horizontal="center"/>
    </xf>
    <xf numFmtId="0" fontId="2" fillId="0" borderId="0" xfId="4" applyFill="1" applyBorder="1" applyProtection="1"/>
    <xf numFmtId="0" fontId="2" fillId="3" borderId="5" xfId="4" applyFill="1" applyBorder="1" applyProtection="1"/>
    <xf numFmtId="44" fontId="0" fillId="0" borderId="0" xfId="1" applyFont="1" applyFill="1" applyBorder="1" applyProtection="1"/>
    <xf numFmtId="44" fontId="0" fillId="4" borderId="0" xfId="1" applyFont="1" applyFill="1" applyBorder="1" applyProtection="1"/>
    <xf numFmtId="0" fontId="2" fillId="0" borderId="4" xfId="4" applyBorder="1" applyProtection="1"/>
    <xf numFmtId="0" fontId="2" fillId="0" borderId="0" xfId="4" applyBorder="1" applyProtection="1"/>
    <xf numFmtId="0" fontId="2" fillId="0" borderId="5" xfId="4" applyBorder="1" applyProtection="1"/>
    <xf numFmtId="11" fontId="2" fillId="0" borderId="0" xfId="4" applyNumberFormat="1" applyBorder="1" applyAlignment="1">
      <alignment horizontal="center"/>
    </xf>
    <xf numFmtId="0" fontId="13" fillId="0" borderId="4" xfId="4" applyFont="1" applyBorder="1" applyAlignment="1" applyProtection="1">
      <alignment horizontal="center"/>
    </xf>
    <xf numFmtId="0" fontId="13" fillId="0" borderId="0" xfId="4" applyFont="1" applyBorder="1" applyAlignment="1" applyProtection="1">
      <alignment horizontal="center"/>
    </xf>
    <xf numFmtId="0" fontId="13" fillId="0" borderId="5" xfId="4" applyFont="1" applyBorder="1" applyAlignment="1" applyProtection="1">
      <alignment horizontal="center"/>
    </xf>
    <xf numFmtId="0" fontId="2" fillId="0" borderId="7" xfId="4" applyFill="1" applyBorder="1" applyProtection="1"/>
    <xf numFmtId="0" fontId="2" fillId="0" borderId="7" xfId="4" applyBorder="1" applyProtection="1"/>
    <xf numFmtId="0" fontId="9" fillId="0" borderId="4" xfId="4" applyFont="1" applyBorder="1" applyAlignment="1" applyProtection="1"/>
    <xf numFmtId="0" fontId="9" fillId="0" borderId="0" xfId="4" applyFont="1" applyBorder="1" applyAlignment="1" applyProtection="1"/>
    <xf numFmtId="0" fontId="2" fillId="0" borderId="0" xfId="4" applyFill="1" applyBorder="1" applyAlignment="1" applyProtection="1">
      <alignment horizontal="left"/>
    </xf>
    <xf numFmtId="0" fontId="2" fillId="3" borderId="0" xfId="4" applyFill="1" applyBorder="1" applyAlignment="1" applyProtection="1">
      <alignment horizontal="left"/>
    </xf>
    <xf numFmtId="0" fontId="0" fillId="0" borderId="0" xfId="0" applyAlignment="1">
      <alignment horizontal="center" wrapText="1"/>
    </xf>
  </cellXfs>
  <cellStyles count="5">
    <cellStyle name="Comma" xfId="2" builtinId="3"/>
    <cellStyle name="Euro" xfId="1"/>
    <cellStyle name="Normal" xfId="0" builtinId="0"/>
    <cellStyle name="Normal 2" xfId="3"/>
    <cellStyle name="Normal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94488911302849"/>
          <c:y val="6.2587749221104286E-2"/>
          <c:w val="0.72783018772552954"/>
          <c:h val="0.76772151421143442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'Compression Spring 1K'!$B$38:$B$39</c:f>
              <c:numCache>
                <c:formatCode>General</c:formatCode>
                <c:ptCount val="2"/>
                <c:pt idx="0">
                  <c:v>0</c:v>
                </c:pt>
                <c:pt idx="1">
                  <c:v>1200</c:v>
                </c:pt>
              </c:numCache>
            </c:numRef>
          </c:xVal>
          <c:yVal>
            <c:numRef>
              <c:f>'Compression Spring 1K'!$C$38:$C$39</c:f>
              <c:numCache>
                <c:formatCode>General</c:formatCode>
                <c:ptCount val="2"/>
                <c:pt idx="0">
                  <c:v>0</c:v>
                </c:pt>
                <c:pt idx="1">
                  <c:v>1200</c:v>
                </c:pt>
              </c:numCache>
            </c:numRef>
          </c:yVal>
          <c:smooth val="0"/>
        </c:ser>
        <c:ser>
          <c:idx val="2"/>
          <c:order val="1"/>
          <c:tx>
            <c:v>Resultado</c:v>
          </c:tx>
          <c:marker>
            <c:symbol val="none"/>
          </c:marker>
          <c:xVal>
            <c:numRef>
              <c:f>'Compression Spring 1K'!$B$43:$B$44</c:f>
              <c:numCache>
                <c:formatCode>General</c:formatCode>
                <c:ptCount val="2"/>
                <c:pt idx="0">
                  <c:v>0.27607449559903724</c:v>
                </c:pt>
                <c:pt idx="1">
                  <c:v>0.27607449559903724</c:v>
                </c:pt>
              </c:numCache>
            </c:numRef>
          </c:xVal>
          <c:yVal>
            <c:numRef>
              <c:f>'Compression Spring 1K'!$C$43:$C$44</c:f>
              <c:numCache>
                <c:formatCode>General</c:formatCode>
                <c:ptCount val="2"/>
                <c:pt idx="0">
                  <c:v>0.27607449559903724</c:v>
                </c:pt>
                <c:pt idx="1">
                  <c:v>372.70056905864192</c:v>
                </c:pt>
              </c:numCache>
            </c:numRef>
          </c:yVal>
          <c:smooth val="0"/>
        </c:ser>
        <c:ser>
          <c:idx val="3"/>
          <c:order val="2"/>
          <c:tx>
            <c:v>Calculado</c:v>
          </c:tx>
          <c:marker>
            <c:symbol val="none"/>
          </c:marker>
          <c:xVal>
            <c:numRef>
              <c:f>'Compression Spring 1K'!$B$46:$B$48</c:f>
              <c:numCache>
                <c:formatCode>_-* #,##0\ _€_-;\-* #,##0\ _€_-;_-* "-"??\ _€_-;_-@_-</c:formatCode>
                <c:ptCount val="3"/>
                <c:pt idx="0">
                  <c:v>0</c:v>
                </c:pt>
                <c:pt idx="1">
                  <c:v>571.2603735483309</c:v>
                </c:pt>
                <c:pt idx="2">
                  <c:v>942.51012075243432</c:v>
                </c:pt>
              </c:numCache>
            </c:numRef>
          </c:xVal>
          <c:yVal>
            <c:numRef>
              <c:f>'Compression Spring 1K'!$C$46:$C$48</c:f>
              <c:numCache>
                <c:formatCode>_-* #,##0\ _€_-;\-* #,##0\ _€_-;_-* "-"??\ _€_-;_-@_-</c:formatCode>
                <c:ptCount val="3"/>
                <c:pt idx="0" formatCode="0.00E+00">
                  <c:v>531.40609398355468</c:v>
                </c:pt>
                <c:pt idx="1">
                  <c:v>942.51012075243432</c:v>
                </c:pt>
                <c:pt idx="2">
                  <c:v>942.51012075243432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52544"/>
        <c:axId val="201054464"/>
      </c:scatterChart>
      <c:valAx>
        <c:axId val="201052544"/>
        <c:scaling>
          <c:orientation val="minMax"/>
          <c:max val="12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 sz="1200" b="1" i="0" baseline="0">
                    <a:effectLst/>
                    <a:latin typeface="Symbol" panose="05050102010706020507" pitchFamily="18" charset="2"/>
                  </a:rPr>
                  <a:t>t</a:t>
                </a:r>
                <a:r>
                  <a:rPr lang="es-ES" sz="900" b="1" i="0" baseline="0">
                    <a:effectLst/>
                    <a:latin typeface="+mn-lt"/>
                  </a:rPr>
                  <a:t>KU (N/mm2)</a:t>
                </a:r>
                <a:endParaRPr lang="es-ES" sz="900">
                  <a:effectLst/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0.78350315658370906"/>
              <c:y val="0.892610267174877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201054464"/>
        <c:crosses val="autoZero"/>
        <c:crossBetween val="midCat"/>
      </c:valAx>
      <c:valAx>
        <c:axId val="201054464"/>
        <c:scaling>
          <c:orientation val="minMax"/>
          <c:max val="12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 sz="1200" b="1" i="0" baseline="0">
                    <a:effectLst/>
                    <a:latin typeface="Symbol" panose="05050102010706020507" pitchFamily="18" charset="2"/>
                  </a:rPr>
                  <a:t>t</a:t>
                </a:r>
                <a:r>
                  <a:rPr lang="es-ES" sz="900" b="1" i="0" baseline="0">
                    <a:effectLst/>
                  </a:rPr>
                  <a:t>KU (N/mm2)</a:t>
                </a:r>
                <a:endParaRPr lang="es-E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0"/>
              <c:y val="2.9513478147197977E-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0105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46788185018552"/>
          <c:y val="7.7726578261261448E-2"/>
          <c:w val="0.79629666906614949"/>
          <c:h val="0.7215741607254332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10056507394499063"/>
                  <c:y val="7.99059269158739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1.0771572547813342E-2"/>
                  <c:y val="0.18629286230915137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#,##0.00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EllipseCallout">
                    <a:avLst/>
                  </a:prstGeom>
                </c15:spPr>
                <c15:showLeaderLines val="0"/>
              </c:ext>
            </c:extLst>
          </c:dLbls>
          <c:xVal>
            <c:numRef>
              <c:f>'Compression Spring 1K'!$B$53:$B$54</c:f>
              <c:numCache>
                <c:formatCode>General</c:formatCode>
                <c:ptCount val="2"/>
                <c:pt idx="0">
                  <c:v>2.0000000000003126E-2</c:v>
                </c:pt>
                <c:pt idx="1">
                  <c:v>27</c:v>
                </c:pt>
              </c:numCache>
            </c:numRef>
          </c:xVal>
          <c:yVal>
            <c:numRef>
              <c:f>'Compression Spring 1K'!$C$53:$C$54</c:f>
              <c:numCache>
                <c:formatCode>General</c:formatCode>
                <c:ptCount val="2"/>
                <c:pt idx="0">
                  <c:v>4.1406289691618525E-2</c:v>
                </c:pt>
                <c:pt idx="1">
                  <c:v>55.898491083676269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666112"/>
        <c:axId val="200668288"/>
      </c:scatterChart>
      <c:valAx>
        <c:axId val="200666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Travel  [mm]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0668288"/>
        <c:crosses val="autoZero"/>
        <c:crossBetween val="midCat"/>
      </c:valAx>
      <c:valAx>
        <c:axId val="20066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Force 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066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58131268254902"/>
          <c:y val="5.9451243293383506E-2"/>
          <c:w val="0.83049174636392453"/>
          <c:h val="0.78659077253897469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'Compression Spring 2K'!$B$37:$B$38</c:f>
              <c:numCache>
                <c:formatCode>General</c:formatCode>
                <c:ptCount val="2"/>
                <c:pt idx="0">
                  <c:v>0</c:v>
                </c:pt>
                <c:pt idx="1">
                  <c:v>1200</c:v>
                </c:pt>
              </c:numCache>
            </c:numRef>
          </c:xVal>
          <c:yVal>
            <c:numRef>
              <c:f>'Compression Spring 2K'!$C$37:$C$38</c:f>
              <c:numCache>
                <c:formatCode>General</c:formatCode>
                <c:ptCount val="2"/>
                <c:pt idx="0">
                  <c:v>0</c:v>
                </c:pt>
                <c:pt idx="1">
                  <c:v>1200</c:v>
                </c:pt>
              </c:numCache>
            </c:numRef>
          </c:yVal>
          <c:smooth val="0"/>
        </c:ser>
        <c:ser>
          <c:idx val="2"/>
          <c:order val="1"/>
          <c:tx>
            <c:v>Resultado</c:v>
          </c:tx>
          <c:marker>
            <c:symbol val="none"/>
          </c:marker>
          <c:xVal>
            <c:numRef>
              <c:f>'Compression Spring 2K'!$B$40:$B$41</c:f>
              <c:numCache>
                <c:formatCode>General</c:formatCode>
                <c:ptCount val="2"/>
                <c:pt idx="0">
                  <c:v>284.81651307292753</c:v>
                </c:pt>
                <c:pt idx="1">
                  <c:v>284.81651307292753</c:v>
                </c:pt>
              </c:numCache>
            </c:numRef>
          </c:xVal>
          <c:yVal>
            <c:numRef>
              <c:f>'Compression Spring 2K'!$C$40:$C$41</c:f>
              <c:numCache>
                <c:formatCode>General</c:formatCode>
                <c:ptCount val="2"/>
                <c:pt idx="0">
                  <c:v>284.81651307292753</c:v>
                </c:pt>
                <c:pt idx="1">
                  <c:v>770.67997655027466</c:v>
                </c:pt>
              </c:numCache>
            </c:numRef>
          </c:yVal>
          <c:smooth val="0"/>
        </c:ser>
        <c:ser>
          <c:idx val="3"/>
          <c:order val="2"/>
          <c:tx>
            <c:v>Calculado</c:v>
          </c:tx>
          <c:marker>
            <c:symbol val="none"/>
          </c:marker>
          <c:xVal>
            <c:numRef>
              <c:f>'Compression Spring 2K'!$B$45:$B$47</c:f>
              <c:numCache>
                <c:formatCode>_-* #,##0\ _€_-;\-* #,##0\ _€_-;_-* "-"??\ _€_-;_-@_-</c:formatCode>
                <c:ptCount val="3"/>
                <c:pt idx="0">
                  <c:v>0</c:v>
                </c:pt>
                <c:pt idx="1">
                  <c:v>389.03342013659341</c:v>
                </c:pt>
                <c:pt idx="2">
                  <c:v>852.06723037720076</c:v>
                </c:pt>
              </c:numCache>
            </c:numRef>
          </c:xVal>
          <c:yVal>
            <c:numRef>
              <c:f>'Compression Spring 2K'!$C$45:$C$47</c:f>
              <c:numCache>
                <c:formatCode>_-* #,##0\ _€_-;\-* #,##0\ _€_-;_-* "-"??\ _€_-;_-@_-</c:formatCode>
                <c:ptCount val="3"/>
                <c:pt idx="0" formatCode="General">
                  <c:v>572.101713825768</c:v>
                </c:pt>
                <c:pt idx="1">
                  <c:v>852.06723037720076</c:v>
                </c:pt>
                <c:pt idx="2">
                  <c:v>852.06723037720076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84224"/>
        <c:axId val="201286400"/>
      </c:scatterChart>
      <c:valAx>
        <c:axId val="201284224"/>
        <c:scaling>
          <c:orientation val="minMax"/>
          <c:max val="1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 sz="1200" b="1" i="0" baseline="0">
                    <a:effectLst/>
                    <a:latin typeface="Symbol" panose="05050102010706020507" pitchFamily="18" charset="2"/>
                  </a:rPr>
                  <a:t>t</a:t>
                </a:r>
                <a:r>
                  <a:rPr lang="es-ES" sz="900" b="1" i="0" baseline="0">
                    <a:effectLst/>
                  </a:rPr>
                  <a:t>KU (N/mm2)</a:t>
                </a:r>
                <a:endParaRPr lang="es-ES" sz="900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201286400"/>
        <c:crosses val="autoZero"/>
        <c:crossBetween val="midCat"/>
      </c:valAx>
      <c:valAx>
        <c:axId val="201286400"/>
        <c:scaling>
          <c:orientation val="minMax"/>
          <c:max val="12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 sz="1200" b="1" i="0" baseline="0">
                    <a:effectLst/>
                    <a:latin typeface="Symbol" panose="05050102010706020507" pitchFamily="18" charset="2"/>
                  </a:rPr>
                  <a:t>t</a:t>
                </a:r>
                <a:r>
                  <a:rPr lang="es-ES" sz="900" b="1" i="0" baseline="0">
                    <a:effectLst/>
                  </a:rPr>
                  <a:t>KU (N/mm2)</a:t>
                </a:r>
                <a:endParaRPr lang="es-ES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2.7835775064142831E-3"/>
              <c:y val="3.7238718654144282E-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01284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8310516262098"/>
          <c:y val="5.8666666666666666E-2"/>
          <c:w val="0.85165529631786574"/>
          <c:h val="0.77384902887139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9.0163915028631511E-2"/>
                  <c:y val="-0.27200000000000008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7.3770475932516691E-2"/>
                  <c:y val="0.08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3715837589639615E-2"/>
                  <c:y val="0.22933333333333339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.00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EllipseCallout">
                    <a:avLst/>
                  </a:prstGeom>
                </c15:spPr>
                <c15:showLeaderLines val="0"/>
              </c:ext>
            </c:extLst>
          </c:dLbls>
          <c:xVal>
            <c:numRef>
              <c:f>'Compression Spring 2K'!$B$51:$B$53</c:f>
              <c:numCache>
                <c:formatCode>General</c:formatCode>
                <c:ptCount val="3"/>
                <c:pt idx="0">
                  <c:v>17</c:v>
                </c:pt>
                <c:pt idx="1">
                  <c:v>25</c:v>
                </c:pt>
                <c:pt idx="2">
                  <c:v>35</c:v>
                </c:pt>
              </c:numCache>
            </c:numRef>
          </c:xVal>
          <c:yVal>
            <c:numRef>
              <c:f>'Compression Spring 2K'!$C$51:$C$53</c:f>
              <c:numCache>
                <c:formatCode>General</c:formatCode>
                <c:ptCount val="3"/>
                <c:pt idx="0">
                  <c:v>148.05994745357677</c:v>
                </c:pt>
                <c:pt idx="1">
                  <c:v>217.73521684349529</c:v>
                </c:pt>
                <c:pt idx="2">
                  <c:v>400.63279899203133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47840"/>
        <c:axId val="201349760"/>
      </c:scatterChart>
      <c:valAx>
        <c:axId val="201347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Travel </a:t>
                </a:r>
                <a:r>
                  <a:rPr lang="es-ES" baseline="0"/>
                  <a:t>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1349760"/>
        <c:crosses val="autoZero"/>
        <c:crossBetween val="midCat"/>
      </c:valAx>
      <c:valAx>
        <c:axId val="20134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Force [N]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134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36920068535737"/>
          <c:y val="3.4921428812814709E-2"/>
          <c:w val="0.80598672001442861"/>
          <c:h val="0.77880301443006317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'Tension Spring'!$B$38:$B$39</c:f>
              <c:numCache>
                <c:formatCode>General</c:formatCode>
                <c:ptCount val="2"/>
                <c:pt idx="0">
                  <c:v>0</c:v>
                </c:pt>
                <c:pt idx="1">
                  <c:v>1200</c:v>
                </c:pt>
              </c:numCache>
            </c:numRef>
          </c:xVal>
          <c:yVal>
            <c:numRef>
              <c:f>'Tension Spring'!$C$38:$C$39</c:f>
              <c:numCache>
                <c:formatCode>General</c:formatCode>
                <c:ptCount val="2"/>
                <c:pt idx="0">
                  <c:v>0</c:v>
                </c:pt>
                <c:pt idx="1">
                  <c:v>1200</c:v>
                </c:pt>
              </c:numCache>
            </c:numRef>
          </c:yVal>
          <c:smooth val="0"/>
        </c:ser>
        <c:ser>
          <c:idx val="1"/>
          <c:order val="1"/>
          <c:tx>
            <c:v>Limite fatiga</c:v>
          </c:tx>
          <c:marker>
            <c:symbol val="none"/>
          </c:marker>
          <c:xVal>
            <c:numRef>
              <c:f>'Tension Spring'!$B$46:$B$48</c:f>
              <c:numCache>
                <c:formatCode>General</c:formatCode>
                <c:ptCount val="3"/>
                <c:pt idx="0">
                  <c:v>0</c:v>
                </c:pt>
                <c:pt idx="1">
                  <c:v>559.88795708240673</c:v>
                </c:pt>
                <c:pt idx="2">
                  <c:v>904.42890375233594</c:v>
                </c:pt>
              </c:numCache>
            </c:numRef>
          </c:xVal>
          <c:yVal>
            <c:numRef>
              <c:f>'Tension Spring'!$C$46:$C$48</c:f>
              <c:numCache>
                <c:formatCode>General</c:formatCode>
                <c:ptCount val="3"/>
                <c:pt idx="0" formatCode="0.00E+00">
                  <c:v>501.5089667955927</c:v>
                </c:pt>
                <c:pt idx="1">
                  <c:v>904.42890375233594</c:v>
                </c:pt>
                <c:pt idx="2">
                  <c:v>904.42890375233594</c:v>
                </c:pt>
              </c:numCache>
            </c:numRef>
          </c:yVal>
          <c:smooth val="0"/>
        </c:ser>
        <c:ser>
          <c:idx val="2"/>
          <c:order val="2"/>
          <c:tx>
            <c:v>Resultado</c:v>
          </c:tx>
          <c:marker>
            <c:symbol val="none"/>
          </c:marker>
          <c:xVal>
            <c:numRef>
              <c:f>'Tension Spring'!$B$43:$B$44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'Tension Spring'!$C$43:$C$44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71264"/>
        <c:axId val="202248576"/>
      </c:scatterChart>
      <c:valAx>
        <c:axId val="201771264"/>
        <c:scaling>
          <c:orientation val="minMax"/>
          <c:max val="12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ES" sz="1200" b="1" i="0" u="none" strike="noStrike" baseline="0">
                    <a:solidFill>
                      <a:srgbClr val="000000"/>
                    </a:solidFill>
                    <a:latin typeface="Symbol"/>
                  </a:rPr>
                  <a:t>t</a:t>
                </a:r>
                <a:r>
                  <a:rPr lang="es-ES" sz="9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KU (N/mm2)</a:t>
                </a:r>
              </a:p>
            </c:rich>
          </c:tx>
          <c:layout>
            <c:manualLayout>
              <c:xMode val="edge"/>
              <c:yMode val="edge"/>
              <c:x val="0.74289486630986967"/>
              <c:y val="0.8963955256665878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202248576"/>
        <c:crosses val="autoZero"/>
        <c:crossBetween val="midCat"/>
      </c:valAx>
      <c:valAx>
        <c:axId val="202248576"/>
        <c:scaling>
          <c:orientation val="minMax"/>
          <c:max val="12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ES" sz="1200" b="1" i="0" u="none" strike="noStrike" baseline="0">
                    <a:solidFill>
                      <a:srgbClr val="000000"/>
                    </a:solidFill>
                    <a:latin typeface="Symbol"/>
                  </a:rPr>
                  <a:t>t</a:t>
                </a:r>
                <a:r>
                  <a:rPr lang="es-ES" sz="9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K0 (N/mm2)</a:t>
                </a:r>
              </a:p>
            </c:rich>
          </c:tx>
          <c:layout>
            <c:manualLayout>
              <c:xMode val="edge"/>
              <c:yMode val="edge"/>
              <c:x val="1.2055147688385254E-2"/>
              <c:y val="1.5847160735809301E-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201771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29611071343355"/>
          <c:y val="5.0925925925925923E-2"/>
          <c:w val="0.78676449534717252"/>
          <c:h val="0.808318022747156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561797894612851E-2"/>
                  <c:y val="-0.3013700484611880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5592990269560786"/>
                  <c:y val="5.1080909511672708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30303030303030309"/>
                  <c:y val="4.6296296296296294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.00" sourceLinked="0"/>
            <c:spPr>
              <a:solidFill>
                <a:sysClr val="window" lastClr="FFFFFF">
                  <a:alpha val="92000"/>
                </a:sys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EllipseCallout">
                    <a:avLst/>
                  </a:prstGeom>
                </c15:spPr>
                <c15:showLeaderLines val="0"/>
              </c:ext>
            </c:extLst>
          </c:dLbls>
          <c:xVal>
            <c:numRef>
              <c:f>'Tension Spring'!$B$52:$B$54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'Tension Spring'!$C$52:$C$54</c:f>
              <c:numCache>
                <c:formatCode>General</c:formatCode>
                <c:ptCount val="3"/>
                <c:pt idx="0">
                  <c:v>7.84513457981725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301440"/>
        <c:axId val="202303360"/>
      </c:scatterChart>
      <c:valAx>
        <c:axId val="202301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Travel [mm]</a:t>
                </a:r>
              </a:p>
            </c:rich>
          </c:tx>
          <c:layout>
            <c:manualLayout>
              <c:xMode val="edge"/>
              <c:yMode val="edge"/>
              <c:x val="0.78763093533762829"/>
              <c:y val="0.9203470399533392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2303360"/>
        <c:crosses val="autoZero"/>
        <c:crossBetween val="midCat"/>
      </c:valAx>
      <c:valAx>
        <c:axId val="20230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Force [N]</a:t>
                </a:r>
              </a:p>
            </c:rich>
          </c:tx>
          <c:layout>
            <c:manualLayout>
              <c:xMode val="edge"/>
              <c:yMode val="edge"/>
              <c:x val="1.1363636363636364E-2"/>
              <c:y val="2.7584572761738127E-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2301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20905934732599"/>
          <c:y val="2.8150750461478781E-2"/>
          <c:w val="0.72720156695087557"/>
          <c:h val="0.79285686784308329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'Torsion Spring'!$B$47:$B$48</c:f>
              <c:numCache>
                <c:formatCode>General</c:formatCode>
                <c:ptCount val="2"/>
                <c:pt idx="0">
                  <c:v>0</c:v>
                </c:pt>
                <c:pt idx="1">
                  <c:v>1200</c:v>
                </c:pt>
              </c:numCache>
            </c:numRef>
          </c:xVal>
          <c:yVal>
            <c:numRef>
              <c:f>'Torsion Spring'!$C$47:$C$48</c:f>
              <c:numCache>
                <c:formatCode>General</c:formatCode>
                <c:ptCount val="2"/>
                <c:pt idx="0">
                  <c:v>0</c:v>
                </c:pt>
                <c:pt idx="1">
                  <c:v>1200</c:v>
                </c:pt>
              </c:numCache>
            </c:numRef>
          </c:yVal>
          <c:smooth val="0"/>
        </c:ser>
        <c:ser>
          <c:idx val="2"/>
          <c:order val="1"/>
          <c:tx>
            <c:v>Result</c:v>
          </c:tx>
          <c:marker>
            <c:symbol val="none"/>
          </c:marker>
          <c:xVal>
            <c:numRef>
              <c:f>'Torsion Spring'!$B$51:$B$52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'Torsion Spring'!$C$51:$C$52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Limite fatiga</c:v>
          </c:tx>
          <c:marker>
            <c:symbol val="none"/>
          </c:marker>
          <c:xVal>
            <c:numRef>
              <c:f>'Torsion Spring'!$B$54:$B$56</c:f>
              <c:numCache>
                <c:formatCode>General</c:formatCode>
                <c:ptCount val="3"/>
                <c:pt idx="0">
                  <c:v>0</c:v>
                </c:pt>
                <c:pt idx="1">
                  <c:v>511.26610817788196</c:v>
                </c:pt>
                <c:pt idx="2">
                  <c:v>825.88639368963311</c:v>
                </c:pt>
              </c:numCache>
            </c:numRef>
          </c:xVal>
          <c:yVal>
            <c:numRef>
              <c:f>'Torsion Spring'!$C$54:$C$56</c:f>
              <c:numCache>
                <c:formatCode>General</c:formatCode>
                <c:ptCount val="3"/>
                <c:pt idx="0" formatCode="0.00E+00">
                  <c:v>457.9568723107123</c:v>
                </c:pt>
                <c:pt idx="1">
                  <c:v>825.88639368963311</c:v>
                </c:pt>
                <c:pt idx="2">
                  <c:v>825.88639368963311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465088"/>
        <c:axId val="203467008"/>
      </c:scatterChart>
      <c:valAx>
        <c:axId val="20346508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 sz="2000" b="1" i="0" baseline="0">
                    <a:effectLst/>
                    <a:latin typeface="Symbol" panose="05050102010706020507" pitchFamily="18" charset="2"/>
                  </a:rPr>
                  <a:t>t</a:t>
                </a:r>
                <a:r>
                  <a:rPr lang="es-ES" sz="900" b="1" i="0" baseline="0">
                    <a:effectLst/>
                  </a:rPr>
                  <a:t>KU (N/mm2)</a:t>
                </a:r>
                <a:endParaRPr lang="es-ES" sz="900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203467008"/>
        <c:crosses val="autoZero"/>
        <c:crossBetween val="midCat"/>
        <c:majorUnit val="200"/>
      </c:valAx>
      <c:valAx>
        <c:axId val="20346700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/>
                </a:pPr>
                <a:r>
                  <a:rPr lang="es-ES" sz="1600" b="1" i="0" baseline="0">
                    <a:effectLst/>
                    <a:latin typeface="Symbol" panose="05050102010706020507" pitchFamily="18" charset="2"/>
                  </a:rPr>
                  <a:t>t</a:t>
                </a:r>
                <a:r>
                  <a:rPr lang="es-ES" sz="900" b="1" i="0" baseline="0">
                    <a:effectLst/>
                  </a:rPr>
                  <a:t>KU (N/mm2)</a:t>
                </a:r>
                <a:endParaRPr lang="es-ES" sz="900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203465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526971081752688E-2"/>
          <c:y val="1.9633948121672972E-2"/>
          <c:w val="0.91058537037037035"/>
          <c:h val="0.9480477777777778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'Torsion Spring'!$V$3:$V$38</c:f>
              <c:numCache>
                <c:formatCode>General</c:formatCode>
                <c:ptCount val="36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xVal>
          <c:yVal>
            <c:numRef>
              <c:f>'Torsion Spring'!$W$3:$W$38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1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'Torsion Spring'!$X$3:$X$4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'Torsion Spring'!$Y$3:$Y$4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'Torsion Spring'!$Z$3:$Z$4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'Torsion Spring'!$AA$3:$AA$4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'Torsion Spring'!$AB$3:$AB$38</c:f>
              <c:numCache>
                <c:formatCode>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xVal>
          <c:yVal>
            <c:numRef>
              <c:f>'Torsion Spring'!$AC$3:$AC$38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1"/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'Torsion Spring'!$AH$3:$AH$38</c:f>
              <c:numCache>
                <c:formatCode>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xVal>
          <c:yVal>
            <c:numRef>
              <c:f>'Torsion Spring'!$AI$3:$AI$38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1"/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'Torsion Spring'!$AF$3:$AF$4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'Torsion Spring'!$AG$3:$AG$4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'Torsion Spring'!$AD$3:$AD$4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'Torsion Spring'!$AE$3:$AE$4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'Torsion Spring'!$AJ$3:$AJ$4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'Torsion Spring'!$AK$3:$AK$4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'Torsion Spring'!$AL$3:$AL$4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'Torsion Spring'!$AM$3:$AM$4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520256"/>
        <c:axId val="203534336"/>
      </c:scatterChart>
      <c:valAx>
        <c:axId val="20352025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3534336"/>
        <c:crosses val="autoZero"/>
        <c:crossBetween val="midCat"/>
        <c:majorUnit val="10"/>
      </c:valAx>
      <c:valAx>
        <c:axId val="203534336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3520256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16574579867027492"/>
                  <c:y val="0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3.3149159734054995E-2"/>
                  <c:y val="0.2352940304607576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.00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EllipseCallout">
                    <a:avLst/>
                  </a:prstGeom>
                </c15:spPr>
                <c15:showLeaderLines val="0"/>
              </c:ext>
            </c:extLst>
          </c:dLbls>
          <c:xVal>
            <c:numRef>
              <c:f>'Torsion Spring'!$B$60:$C$60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'Torsion Spring'!$B$61:$C$61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644288"/>
        <c:axId val="203646464"/>
      </c:scatterChart>
      <c:valAx>
        <c:axId val="203644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Travel [deg]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3646464"/>
        <c:crosses val="autoZero"/>
        <c:crossBetween val="midCat"/>
      </c:valAx>
      <c:valAx>
        <c:axId val="20364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[Nmm]</a:t>
                </a:r>
              </a:p>
            </c:rich>
          </c:tx>
          <c:layout>
            <c:manualLayout>
              <c:xMode val="edge"/>
              <c:yMode val="edge"/>
              <c:x val="1.9444444444444445E-2"/>
              <c:y val="4.8013269174686478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364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DH!$J$8:$J$13</c:f>
              <c:numCache>
                <c:formatCode>General</c:formatCode>
                <c:ptCount val="6"/>
                <c:pt idx="0">
                  <c:v>1490.1844677667236</c:v>
                </c:pt>
                <c:pt idx="1">
                  <c:v>1573.5285841825812</c:v>
                </c:pt>
                <c:pt idx="2">
                  <c:v>1749.0749397058635</c:v>
                </c:pt>
                <c:pt idx="3">
                  <c:v>1939.8683101824608</c:v>
                </c:pt>
                <c:pt idx="4">
                  <c:v>2091.3095280608604</c:v>
                </c:pt>
                <c:pt idx="5">
                  <c:v>2350.1999999999998</c:v>
                </c:pt>
              </c:numCache>
            </c:numRef>
          </c:xVal>
          <c:yVal>
            <c:numRef>
              <c:f>DH!$E$8:$E$13</c:f>
              <c:numCache>
                <c:formatCode>General</c:formatCode>
                <c:ptCount val="6"/>
                <c:pt idx="0">
                  <c:v>405.85009140767801</c:v>
                </c:pt>
                <c:pt idx="1">
                  <c:v>429.98171846435002</c:v>
                </c:pt>
                <c:pt idx="2">
                  <c:v>471.663619744058</c:v>
                </c:pt>
                <c:pt idx="3">
                  <c:v>511.15173674588601</c:v>
                </c:pt>
                <c:pt idx="4">
                  <c:v>550.63985374771403</c:v>
                </c:pt>
                <c:pt idx="5">
                  <c:v>596.709323583181</c:v>
                </c:pt>
              </c:numCache>
            </c:numRef>
          </c:yVal>
          <c:smooth val="1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DH!$J$14:$J$19</c:f>
              <c:numCache>
                <c:formatCode>General</c:formatCode>
                <c:ptCount val="6"/>
                <c:pt idx="0">
                  <c:v>1490.1844677667236</c:v>
                </c:pt>
                <c:pt idx="1">
                  <c:v>1573.5285841825812</c:v>
                </c:pt>
                <c:pt idx="2">
                  <c:v>1749.0749397058635</c:v>
                </c:pt>
                <c:pt idx="3">
                  <c:v>1939.8683101824608</c:v>
                </c:pt>
                <c:pt idx="4">
                  <c:v>2091.3095280608604</c:v>
                </c:pt>
                <c:pt idx="5">
                  <c:v>2350.1999999999998</c:v>
                </c:pt>
              </c:numCache>
            </c:numRef>
          </c:xVal>
          <c:yVal>
            <c:numRef>
              <c:f>DH!$E$14:$E$19</c:f>
              <c:numCache>
                <c:formatCode>General</c:formatCode>
                <c:ptCount val="6"/>
                <c:pt idx="0">
                  <c:v>326.34560906515497</c:v>
                </c:pt>
                <c:pt idx="1">
                  <c:v>346.74220963172797</c:v>
                </c:pt>
                <c:pt idx="2">
                  <c:v>397.733711048158</c:v>
                </c:pt>
                <c:pt idx="3">
                  <c:v>424.92917847025399</c:v>
                </c:pt>
                <c:pt idx="4">
                  <c:v>458.92351274787501</c:v>
                </c:pt>
                <c:pt idx="5">
                  <c:v>499.71671388101902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79456"/>
        <c:axId val="205385728"/>
      </c:scatterChart>
      <c:valAx>
        <c:axId val="20537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5385728"/>
        <c:crosses val="autoZero"/>
        <c:crossBetween val="midCat"/>
      </c:valAx>
      <c:valAx>
        <c:axId val="20538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537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DH!$AB$3:$AC$3</c:f>
              <c:numCache>
                <c:formatCode>General</c:formatCode>
                <c:ptCount val="2"/>
                <c:pt idx="0">
                  <c:v>1000000</c:v>
                </c:pt>
                <c:pt idx="1">
                  <c:v>10000000</c:v>
                </c:pt>
              </c:numCache>
            </c:numRef>
          </c:xVal>
          <c:yVal>
            <c:numRef>
              <c:f>DH!$AB$6:$AC$6</c:f>
              <c:numCache>
                <c:formatCode>General</c:formatCode>
                <c:ptCount val="2"/>
                <c:pt idx="0">
                  <c:v>0.31960989599204914</c:v>
                </c:pt>
                <c:pt idx="1">
                  <c:v>0.26591018689966323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685120"/>
        <c:axId val="205686656"/>
      </c:scatterChart>
      <c:valAx>
        <c:axId val="205685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5686656"/>
        <c:crosses val="autoZero"/>
        <c:crossBetween val="midCat"/>
      </c:valAx>
      <c:valAx>
        <c:axId val="20568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5685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TD!$G$7:$G$11</c:f>
              <c:numCache>
                <c:formatCode>General</c:formatCode>
                <c:ptCount val="5"/>
                <c:pt idx="0">
                  <c:v>1951.0731999999998</c:v>
                </c:pt>
                <c:pt idx="1">
                  <c:v>1826.5075999999999</c:v>
                </c:pt>
                <c:pt idx="2">
                  <c:v>1719.9999999999998</c:v>
                </c:pt>
                <c:pt idx="3">
                  <c:v>1598.5699999999995</c:v>
                </c:pt>
                <c:pt idx="4">
                  <c:v>1458.3320000000026</c:v>
                </c:pt>
              </c:numCache>
            </c:numRef>
          </c:xVal>
          <c:yVal>
            <c:numRef>
              <c:f>TD!$B$7:$B$11</c:f>
              <c:numCache>
                <c:formatCode>General</c:formatCode>
                <c:ptCount val="5"/>
                <c:pt idx="0">
                  <c:v>365.85365853658499</c:v>
                </c:pt>
                <c:pt idx="1">
                  <c:v>386.75958188153299</c:v>
                </c:pt>
                <c:pt idx="2">
                  <c:v>414.63414634146301</c:v>
                </c:pt>
                <c:pt idx="3">
                  <c:v>445.99303135888499</c:v>
                </c:pt>
                <c:pt idx="4">
                  <c:v>501.74216027874502</c:v>
                </c:pt>
              </c:numCache>
            </c:numRef>
          </c:yVal>
          <c:smooth val="1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TD!$G$12:$G$16</c:f>
              <c:numCache>
                <c:formatCode>General</c:formatCode>
                <c:ptCount val="5"/>
                <c:pt idx="0">
                  <c:v>1951.0731999999998</c:v>
                </c:pt>
                <c:pt idx="1">
                  <c:v>1826.5075999999999</c:v>
                </c:pt>
                <c:pt idx="2">
                  <c:v>1719.9999999999998</c:v>
                </c:pt>
                <c:pt idx="3">
                  <c:v>1598.5699999999995</c:v>
                </c:pt>
                <c:pt idx="4">
                  <c:v>1458.3320000000026</c:v>
                </c:pt>
              </c:numCache>
            </c:numRef>
          </c:xVal>
          <c:yVal>
            <c:numRef>
              <c:f>TD!$B$12:$B$16</c:f>
              <c:numCache>
                <c:formatCode>General</c:formatCode>
                <c:ptCount val="5"/>
                <c:pt idx="0">
                  <c:v>260.56338028169</c:v>
                </c:pt>
                <c:pt idx="1">
                  <c:v>295.774647887323</c:v>
                </c:pt>
                <c:pt idx="2">
                  <c:v>323.94366197183098</c:v>
                </c:pt>
                <c:pt idx="3">
                  <c:v>345.07042253521098</c:v>
                </c:pt>
                <c:pt idx="4">
                  <c:v>366.19718309859098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07808"/>
        <c:axId val="201209344"/>
      </c:scatterChart>
      <c:valAx>
        <c:axId val="20120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1209344"/>
        <c:crosses val="autoZero"/>
        <c:crossBetween val="midCat"/>
      </c:valAx>
      <c:valAx>
        <c:axId val="20120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1207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7" Type="http://schemas.openxmlformats.org/officeDocument/2006/relationships/chart" Target="../charts/chart2.xml"/><Relationship Id="rId2" Type="http://schemas.openxmlformats.org/officeDocument/2006/relationships/image" Target="../media/image10.jpeg"/><Relationship Id="rId1" Type="http://schemas.openxmlformats.org/officeDocument/2006/relationships/chart" Target="../charts/chart1.xml"/><Relationship Id="rId6" Type="http://schemas.openxmlformats.org/officeDocument/2006/relationships/image" Target="../media/image14.jpeg"/><Relationship Id="rId5" Type="http://schemas.openxmlformats.org/officeDocument/2006/relationships/image" Target="../media/image13.jpeg"/><Relationship Id="rId4" Type="http://schemas.openxmlformats.org/officeDocument/2006/relationships/image" Target="../media/image1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jpeg"/><Relationship Id="rId7" Type="http://schemas.openxmlformats.org/officeDocument/2006/relationships/chart" Target="../charts/chart4.xml"/><Relationship Id="rId2" Type="http://schemas.openxmlformats.org/officeDocument/2006/relationships/image" Target="../media/image21.jpeg"/><Relationship Id="rId1" Type="http://schemas.openxmlformats.org/officeDocument/2006/relationships/image" Target="../media/image20.jpeg"/><Relationship Id="rId6" Type="http://schemas.openxmlformats.org/officeDocument/2006/relationships/image" Target="../media/image14.jpeg"/><Relationship Id="rId5" Type="http://schemas.openxmlformats.org/officeDocument/2006/relationships/chart" Target="../charts/chart3.xml"/><Relationship Id="rId4" Type="http://schemas.openxmlformats.org/officeDocument/2006/relationships/image" Target="../media/image23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png"/><Relationship Id="rId3" Type="http://schemas.openxmlformats.org/officeDocument/2006/relationships/image" Target="../media/image33.png"/><Relationship Id="rId7" Type="http://schemas.openxmlformats.org/officeDocument/2006/relationships/image" Target="../media/image37.png"/><Relationship Id="rId2" Type="http://schemas.openxmlformats.org/officeDocument/2006/relationships/image" Target="../media/image32.png"/><Relationship Id="rId1" Type="http://schemas.openxmlformats.org/officeDocument/2006/relationships/chart" Target="../charts/chart5.xml"/><Relationship Id="rId6" Type="http://schemas.openxmlformats.org/officeDocument/2006/relationships/image" Target="../media/image36.png"/><Relationship Id="rId11" Type="http://schemas.openxmlformats.org/officeDocument/2006/relationships/chart" Target="../charts/chart6.xml"/><Relationship Id="rId5" Type="http://schemas.openxmlformats.org/officeDocument/2006/relationships/image" Target="../media/image35.png"/><Relationship Id="rId10" Type="http://schemas.openxmlformats.org/officeDocument/2006/relationships/image" Target="../media/image40.jpeg"/><Relationship Id="rId4" Type="http://schemas.openxmlformats.org/officeDocument/2006/relationships/image" Target="../media/image34.png"/><Relationship Id="rId9" Type="http://schemas.openxmlformats.org/officeDocument/2006/relationships/image" Target="../media/image3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5.jpe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image" Target="../media/image46.png"/><Relationship Id="rId4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27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4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5</xdr:row>
      <xdr:rowOff>142875</xdr:rowOff>
    </xdr:from>
    <xdr:to>
      <xdr:col>4</xdr:col>
      <xdr:colOff>209550</xdr:colOff>
      <xdr:row>17</xdr:row>
      <xdr:rowOff>19050</xdr:rowOff>
    </xdr:to>
    <xdr:grpSp>
      <xdr:nvGrpSpPr>
        <xdr:cNvPr id="6" name="Grupo 5"/>
        <xdr:cNvGrpSpPr/>
      </xdr:nvGrpSpPr>
      <xdr:grpSpPr>
        <a:xfrm>
          <a:off x="693860" y="948837"/>
          <a:ext cx="1948228" cy="1810482"/>
          <a:chOff x="514350" y="533400"/>
          <a:chExt cx="1952625" cy="1819275"/>
        </a:xfrm>
      </xdr:grpSpPr>
      <xdr:sp macro="[0]!MuelleComp1K" textlink="">
        <xdr:nvSpPr>
          <xdr:cNvPr id="2" name="Rectangle 1"/>
          <xdr:cNvSpPr/>
        </xdr:nvSpPr>
        <xdr:spPr>
          <a:xfrm>
            <a:off x="514350" y="533400"/>
            <a:ext cx="1952625" cy="1819275"/>
          </a:xfrm>
          <a:prstGeom prst="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ES" sz="1100"/>
              <a:t>Compression Spring 1K</a:t>
            </a:r>
          </a:p>
        </xdr:txBody>
      </xdr:sp>
      <xdr:pic macro="[0]!MuelleComp1K">
        <xdr:nvPicPr>
          <xdr:cNvPr id="4" name="Picture 14" descr="PCR"/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5735" t="16370" r="24264" b="13069"/>
          <a:stretch/>
        </xdr:blipFill>
        <xdr:spPr bwMode="auto">
          <a:xfrm>
            <a:off x="1039768" y="819151"/>
            <a:ext cx="922382" cy="1424268"/>
          </a:xfrm>
          <a:prstGeom prst="rect">
            <a:avLst/>
          </a:prstGeom>
          <a:ln>
            <a:headEnd/>
            <a:tailEnd/>
          </a:ln>
          <a:extLst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pic>
    </xdr:grpSp>
    <xdr:clientData/>
  </xdr:twoCellAnchor>
  <xdr:twoCellAnchor>
    <xdr:from>
      <xdr:col>8</xdr:col>
      <xdr:colOff>485775</xdr:colOff>
      <xdr:row>5</xdr:row>
      <xdr:rowOff>114300</xdr:rowOff>
    </xdr:from>
    <xdr:to>
      <xdr:col>12</xdr:col>
      <xdr:colOff>0</xdr:colOff>
      <xdr:row>16</xdr:row>
      <xdr:rowOff>152400</xdr:rowOff>
    </xdr:to>
    <xdr:grpSp>
      <xdr:nvGrpSpPr>
        <xdr:cNvPr id="3" name="Grupo 2"/>
        <xdr:cNvGrpSpPr/>
      </xdr:nvGrpSpPr>
      <xdr:grpSpPr>
        <a:xfrm>
          <a:off x="5350852" y="920262"/>
          <a:ext cx="1946763" cy="1811215"/>
          <a:chOff x="5362575" y="923925"/>
          <a:chExt cx="1952625" cy="1819275"/>
        </a:xfrm>
      </xdr:grpSpPr>
      <xdr:sp macro="[0]!MuelleTens" textlink="">
        <xdr:nvSpPr>
          <xdr:cNvPr id="12" name="Rectangle 8"/>
          <xdr:cNvSpPr/>
        </xdr:nvSpPr>
        <xdr:spPr>
          <a:xfrm>
            <a:off x="5362575" y="923925"/>
            <a:ext cx="1952625" cy="1819275"/>
          </a:xfrm>
          <a:prstGeom prst="rect">
            <a:avLst/>
          </a:prstGeom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ES" sz="1100"/>
              <a:t>Tension Spring</a:t>
            </a:r>
          </a:p>
        </xdr:txBody>
      </xdr:sp>
      <xdr:pic macro="[0]!MuelleTens">
        <xdr:nvPicPr>
          <xdr:cNvPr id="14" name="Imagen 13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00700" y="1657350"/>
            <a:ext cx="1466850" cy="5524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4</xdr:col>
      <xdr:colOff>590550</xdr:colOff>
      <xdr:row>5</xdr:row>
      <xdr:rowOff>123825</xdr:rowOff>
    </xdr:from>
    <xdr:to>
      <xdr:col>8</xdr:col>
      <xdr:colOff>104775</xdr:colOff>
      <xdr:row>17</xdr:row>
      <xdr:rowOff>0</xdr:rowOff>
    </xdr:to>
    <xdr:grpSp>
      <xdr:nvGrpSpPr>
        <xdr:cNvPr id="7" name="Grupo 6"/>
        <xdr:cNvGrpSpPr/>
      </xdr:nvGrpSpPr>
      <xdr:grpSpPr>
        <a:xfrm>
          <a:off x="3023088" y="929787"/>
          <a:ext cx="1946764" cy="1810482"/>
          <a:chOff x="2705100" y="514350"/>
          <a:chExt cx="1952625" cy="1819275"/>
        </a:xfrm>
      </xdr:grpSpPr>
      <xdr:sp macro="[0]!MuelleComp2K" textlink="">
        <xdr:nvSpPr>
          <xdr:cNvPr id="9" name="Rectangle 8"/>
          <xdr:cNvSpPr/>
        </xdr:nvSpPr>
        <xdr:spPr>
          <a:xfrm>
            <a:off x="2705100" y="514350"/>
            <a:ext cx="1952625" cy="1819275"/>
          </a:xfrm>
          <a:prstGeom prst="rect">
            <a:avLst/>
          </a:prstGeom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ES" sz="1100"/>
              <a:t>Compression Spring 2K</a:t>
            </a:r>
          </a:p>
        </xdr:txBody>
      </xdr:sp>
      <xdr:pic macro="[0]!MuelleComp2K">
        <xdr:nvPicPr>
          <xdr:cNvPr id="15" name="Imagen 14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5400000">
            <a:off x="2820575" y="1186909"/>
            <a:ext cx="1523998" cy="69323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12</xdr:col>
      <xdr:colOff>381000</xdr:colOff>
      <xdr:row>5</xdr:row>
      <xdr:rowOff>114300</xdr:rowOff>
    </xdr:from>
    <xdr:to>
      <xdr:col>15</xdr:col>
      <xdr:colOff>504825</xdr:colOff>
      <xdr:row>16</xdr:row>
      <xdr:rowOff>152400</xdr:rowOff>
    </xdr:to>
    <xdr:grpSp>
      <xdr:nvGrpSpPr>
        <xdr:cNvPr id="22" name="Grupo 21"/>
        <xdr:cNvGrpSpPr/>
      </xdr:nvGrpSpPr>
      <xdr:grpSpPr>
        <a:xfrm>
          <a:off x="7678615" y="920262"/>
          <a:ext cx="1948229" cy="1811215"/>
          <a:chOff x="7696200" y="923925"/>
          <a:chExt cx="1952625" cy="1819275"/>
        </a:xfrm>
      </xdr:grpSpPr>
      <xdr:sp macro="[0]!MuelleTorsion" textlink="">
        <xdr:nvSpPr>
          <xdr:cNvPr id="17" name="Rectangle 8"/>
          <xdr:cNvSpPr/>
        </xdr:nvSpPr>
        <xdr:spPr>
          <a:xfrm>
            <a:off x="7696200" y="923925"/>
            <a:ext cx="1952625" cy="1819275"/>
          </a:xfrm>
          <a:prstGeom prst="rect">
            <a:avLst/>
          </a:prstGeom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ES" sz="1100"/>
              <a:t>Torsion Spring</a:t>
            </a:r>
          </a:p>
        </xdr:txBody>
      </xdr:sp>
      <xdr:pic macro="[0]!MuelleTorsion">
        <xdr:nvPicPr>
          <xdr:cNvPr id="19" name="Imagen 18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91475" y="1171576"/>
            <a:ext cx="1314450" cy="144610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82826</xdr:colOff>
      <xdr:row>12</xdr:row>
      <xdr:rowOff>24847</xdr:rowOff>
    </xdr:from>
    <xdr:to>
      <xdr:col>13</xdr:col>
      <xdr:colOff>811694</xdr:colOff>
      <xdr:row>25</xdr:row>
      <xdr:rowOff>132521</xdr:rowOff>
    </xdr:to>
    <xdr:graphicFrame macro="">
      <xdr:nvGraphicFramePr>
        <xdr:cNvPr id="1586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PrintsWithSheet="0"/>
  </xdr:twoCellAnchor>
  <xdr:twoCellAnchor editAs="absolute">
    <xdr:from>
      <xdr:col>8</xdr:col>
      <xdr:colOff>32604</xdr:colOff>
      <xdr:row>0</xdr:row>
      <xdr:rowOff>22009</xdr:rowOff>
    </xdr:from>
    <xdr:to>
      <xdr:col>9</xdr:col>
      <xdr:colOff>694914</xdr:colOff>
      <xdr:row>25</xdr:row>
      <xdr:rowOff>132522</xdr:rowOff>
    </xdr:to>
    <xdr:grpSp>
      <xdr:nvGrpSpPr>
        <xdr:cNvPr id="3" name="Group 2"/>
        <xdr:cNvGrpSpPr/>
      </xdr:nvGrpSpPr>
      <xdr:grpSpPr>
        <a:xfrm>
          <a:off x="7710582" y="22009"/>
          <a:ext cx="1424310" cy="4699078"/>
          <a:chOff x="11111317" y="447552"/>
          <a:chExt cx="3760649" cy="1536584"/>
        </a:xfrm>
      </xdr:grpSpPr>
      <xdr:grpSp>
        <xdr:nvGrpSpPr>
          <xdr:cNvPr id="1584" name="Group 23"/>
          <xdr:cNvGrpSpPr>
            <a:grpSpLocks/>
          </xdr:cNvGrpSpPr>
        </xdr:nvGrpSpPr>
        <xdr:grpSpPr bwMode="auto">
          <a:xfrm>
            <a:off x="11111317" y="449964"/>
            <a:ext cx="3760649" cy="1534172"/>
            <a:chOff x="43" y="219"/>
            <a:chExt cx="404" cy="168"/>
          </a:xfrm>
        </xdr:grpSpPr>
        <xdr:sp macro="" textlink="" fLocksText="0">
          <xdr:nvSpPr>
            <xdr:cNvPr id="1587" name="Rectangle 22"/>
            <xdr:cNvSpPr>
              <a:spLocks noChangeArrowheads="1"/>
            </xdr:cNvSpPr>
          </xdr:nvSpPr>
          <xdr:spPr bwMode="auto">
            <a:xfrm>
              <a:off x="43" y="219"/>
              <a:ext cx="404" cy="168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65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7" name="MuelleTipo1" hidden="1">
                  <a:extLst>
                    <a:ext uri="{63B3BB69-23CF-44E3-9099-C40C66FF867C}">
                      <a14:compatExt spid="_x0000_s1027"/>
                    </a:ext>
                  </a:extLst>
                </xdr:cNvPr>
                <xdr:cNvSpPr/>
              </xdr:nvSpPr>
              <xdr:spPr>
                <a:xfrm>
                  <a:off x="54" y="229"/>
                  <a:ext cx="184" cy="8"/>
                </a:xfrm>
                <a:prstGeom prst="rect">
                  <a:avLst/>
                </a:prstGeom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8" name="MuelleTipo2" hidden="1">
                  <a:extLst>
                    <a:ext uri="{63B3BB69-23CF-44E3-9099-C40C66FF867C}">
                      <a14:compatExt spid="_x0000_s1028"/>
                    </a:ext>
                  </a:extLst>
                </xdr:cNvPr>
                <xdr:cNvSpPr/>
              </xdr:nvSpPr>
              <xdr:spPr>
                <a:xfrm>
                  <a:off x="54" y="269"/>
                  <a:ext cx="184" cy="8"/>
                </a:xfrm>
                <a:prstGeom prst="rect">
                  <a:avLst/>
                </a:prstGeom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9" name="MuelleTipo3" hidden="1">
                  <a:extLst>
                    <a:ext uri="{63B3BB69-23CF-44E3-9099-C40C66FF867C}">
                      <a14:compatExt spid="_x0000_s1029"/>
                    </a:ext>
                  </a:extLst>
                </xdr:cNvPr>
                <xdr:cNvSpPr/>
              </xdr:nvSpPr>
              <xdr:spPr>
                <a:xfrm>
                  <a:off x="54" y="308"/>
                  <a:ext cx="184" cy="8"/>
                </a:xfrm>
                <a:prstGeom prst="rect">
                  <a:avLst/>
                </a:prstGeom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30" name="MuelleTipo4" hidden="1">
                  <a:extLst>
                    <a:ext uri="{63B3BB69-23CF-44E3-9099-C40C66FF867C}">
                      <a14:compatExt spid="_x0000_s1030"/>
                    </a:ext>
                  </a:extLst>
                </xdr:cNvPr>
                <xdr:cNvSpPr/>
              </xdr:nvSpPr>
              <xdr:spPr>
                <a:xfrm>
                  <a:off x="54" y="348"/>
                  <a:ext cx="184" cy="8"/>
                </a:xfrm>
                <a:prstGeom prst="rect">
                  <a:avLst/>
                </a:prstGeom>
              </xdr:spPr>
            </xdr:sp>
          </mc:Choice>
          <mc:Fallback/>
        </mc:AlternateContent>
        <xdr:pic>
          <xdr:nvPicPr>
            <xdr:cNvPr id="1588" name="Picture 11" descr="PCSR"/>
            <xdr:cNvPicPr>
              <a:picLocks noChangeArrowheads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9" y="317"/>
              <a:ext cx="228" cy="28"/>
            </a:xfrm>
            <a:prstGeom prst="rect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589" name="Picture 12" descr="PAR"/>
            <xdr:cNvPicPr>
              <a:picLocks noChangeArrowheads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9" y="278"/>
              <a:ext cx="228" cy="28"/>
            </a:xfrm>
            <a:prstGeom prst="rect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590" name="Picture 13" descr="PASR"/>
            <xdr:cNvPicPr>
              <a:picLocks noChangeArrowheads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9" y="357"/>
              <a:ext cx="228" cy="28"/>
            </a:xfrm>
            <a:prstGeom prst="rect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591" name="Picture 14" descr="PCR"/>
            <xdr:cNvPicPr>
              <a:picLocks noChangeArrowheads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9" y="238"/>
              <a:ext cx="228" cy="28"/>
            </a:xfrm>
            <a:prstGeom prst="rect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" textlink="">
        <xdr:nvSpPr>
          <xdr:cNvPr id="2" name="TextBox 1"/>
          <xdr:cNvSpPr txBox="1"/>
        </xdr:nvSpPr>
        <xdr:spPr>
          <a:xfrm>
            <a:off x="11178315" y="447552"/>
            <a:ext cx="2777319" cy="10185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r"/>
            <a:r>
              <a:rPr lang="es-ES" sz="1400" b="1" u="sng"/>
              <a:t>Spring ends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62534</xdr:colOff>
          <xdr:row>7</xdr:row>
          <xdr:rowOff>55493</xdr:rowOff>
        </xdr:from>
        <xdr:to>
          <xdr:col>6</xdr:col>
          <xdr:colOff>625337</xdr:colOff>
          <xdr:row>9</xdr:row>
          <xdr:rowOff>101048</xdr:rowOff>
        </xdr:to>
        <xdr:sp macro="" textlink="">
          <xdr:nvSpPr>
            <xdr:cNvPr id="1050" name="ShotPeening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24849</xdr:colOff>
      <xdr:row>0</xdr:row>
      <xdr:rowOff>41415</xdr:rowOff>
    </xdr:from>
    <xdr:to>
      <xdr:col>0</xdr:col>
      <xdr:colOff>501099</xdr:colOff>
      <xdr:row>1</xdr:row>
      <xdr:rowOff>262147</xdr:rowOff>
    </xdr:to>
    <xdr:grpSp>
      <xdr:nvGrpSpPr>
        <xdr:cNvPr id="23" name="Grupo 22"/>
        <xdr:cNvGrpSpPr/>
      </xdr:nvGrpSpPr>
      <xdr:grpSpPr>
        <a:xfrm>
          <a:off x="24849" y="41415"/>
          <a:ext cx="476250" cy="485775"/>
          <a:chOff x="133350" y="38100"/>
          <a:chExt cx="476250" cy="485775"/>
        </a:xfrm>
      </xdr:grpSpPr>
      <xdr:sp macro="[0]!MuelleComp1KToHome" textlink="">
        <xdr:nvSpPr>
          <xdr:cNvPr id="24" name="Rectángulo 23"/>
          <xdr:cNvSpPr/>
        </xdr:nvSpPr>
        <xdr:spPr>
          <a:xfrm>
            <a:off x="133350" y="38100"/>
            <a:ext cx="476250" cy="485775"/>
          </a:xfrm>
          <a:prstGeom prst="rect">
            <a:avLst/>
          </a:prstGeom>
          <a:solidFill>
            <a:schemeClr val="bg1"/>
          </a:solidFill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 macro="[0]!MuelleComp1KToHome">
        <xdr:nvPicPr>
          <xdr:cNvPr id="25" name="Imagen 24" descr="Icône Quitter Clip Art Libres De Droits , Vecteurs Et Illustration ..."/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1925" y="85725"/>
            <a:ext cx="409575" cy="41508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</xdr:col>
      <xdr:colOff>695740</xdr:colOff>
      <xdr:row>1</xdr:row>
      <xdr:rowOff>33130</xdr:rowOff>
    </xdr:from>
    <xdr:to>
      <xdr:col>3</xdr:col>
      <xdr:colOff>1429275</xdr:colOff>
      <xdr:row>1</xdr:row>
      <xdr:rowOff>286926</xdr:rowOff>
    </xdr:to>
    <xdr:sp macro="[0]!Hoja1.CalcularDiametros_Click" textlink="">
      <xdr:nvSpPr>
        <xdr:cNvPr id="26" name="Rectángulo 25"/>
        <xdr:cNvSpPr/>
      </xdr:nvSpPr>
      <xdr:spPr>
        <a:xfrm>
          <a:off x="3081131" y="298173"/>
          <a:ext cx="733535" cy="25379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Calculate</a:t>
          </a:r>
        </a:p>
      </xdr:txBody>
    </xdr:sp>
    <xdr:clientData fPrintsWithSheet="0"/>
  </xdr:twoCellAnchor>
  <xdr:twoCellAnchor editAs="absolute">
    <xdr:from>
      <xdr:col>3</xdr:col>
      <xdr:colOff>1487505</xdr:colOff>
      <xdr:row>1</xdr:row>
      <xdr:rowOff>33130</xdr:rowOff>
    </xdr:from>
    <xdr:to>
      <xdr:col>3</xdr:col>
      <xdr:colOff>2003853</xdr:colOff>
      <xdr:row>1</xdr:row>
      <xdr:rowOff>286926</xdr:rowOff>
    </xdr:to>
    <xdr:sp macro="[0]!Hoja1.LimpiarDiam_Click" textlink="">
      <xdr:nvSpPr>
        <xdr:cNvPr id="27" name="Rectángulo 26"/>
        <xdr:cNvSpPr/>
      </xdr:nvSpPr>
      <xdr:spPr>
        <a:xfrm>
          <a:off x="3872896" y="298173"/>
          <a:ext cx="516348" cy="253796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Clean</a:t>
          </a:r>
        </a:p>
      </xdr:txBody>
    </xdr:sp>
    <xdr:clientData fPrintsWithSheet="0"/>
  </xdr:twoCellAnchor>
  <xdr:twoCellAnchor editAs="absolute">
    <xdr:from>
      <xdr:col>3</xdr:col>
      <xdr:colOff>690770</xdr:colOff>
      <xdr:row>10</xdr:row>
      <xdr:rowOff>53016</xdr:rowOff>
    </xdr:from>
    <xdr:to>
      <xdr:col>3</xdr:col>
      <xdr:colOff>1424305</xdr:colOff>
      <xdr:row>10</xdr:row>
      <xdr:rowOff>306812</xdr:rowOff>
    </xdr:to>
    <xdr:sp macro="[0]!Hoja1.CalculaEsfuerzos_Click" textlink="">
      <xdr:nvSpPr>
        <xdr:cNvPr id="28" name="Rectángulo 27"/>
        <xdr:cNvSpPr/>
      </xdr:nvSpPr>
      <xdr:spPr>
        <a:xfrm>
          <a:off x="3076161" y="1966299"/>
          <a:ext cx="733535" cy="25379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Calculate</a:t>
          </a:r>
        </a:p>
      </xdr:txBody>
    </xdr:sp>
    <xdr:clientData fPrintsWithSheet="0"/>
  </xdr:twoCellAnchor>
  <xdr:twoCellAnchor editAs="absolute">
    <xdr:from>
      <xdr:col>3</xdr:col>
      <xdr:colOff>1482535</xdr:colOff>
      <xdr:row>10</xdr:row>
      <xdr:rowOff>53016</xdr:rowOff>
    </xdr:from>
    <xdr:to>
      <xdr:col>3</xdr:col>
      <xdr:colOff>1998883</xdr:colOff>
      <xdr:row>10</xdr:row>
      <xdr:rowOff>306812</xdr:rowOff>
    </xdr:to>
    <xdr:sp macro="[0]!Hoja1.LimpiaEsfuer_Click" textlink="">
      <xdr:nvSpPr>
        <xdr:cNvPr id="29" name="Rectángulo 28"/>
        <xdr:cNvSpPr/>
      </xdr:nvSpPr>
      <xdr:spPr>
        <a:xfrm>
          <a:off x="3867926" y="1966299"/>
          <a:ext cx="516348" cy="253796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Clean</a:t>
          </a:r>
        </a:p>
      </xdr:txBody>
    </xdr:sp>
    <xdr:clientData fPrintsWithSheet="0"/>
  </xdr:twoCellAnchor>
  <xdr:twoCellAnchor editAs="absolute">
    <xdr:from>
      <xdr:col>6</xdr:col>
      <xdr:colOff>569844</xdr:colOff>
      <xdr:row>10</xdr:row>
      <xdr:rowOff>56322</xdr:rowOff>
    </xdr:from>
    <xdr:to>
      <xdr:col>7</xdr:col>
      <xdr:colOff>516531</xdr:colOff>
      <xdr:row>10</xdr:row>
      <xdr:rowOff>310118</xdr:rowOff>
    </xdr:to>
    <xdr:sp macro="[0]!Hoja1.CalcResInt_Click" textlink="">
      <xdr:nvSpPr>
        <xdr:cNvPr id="30" name="Rectángulo 29"/>
        <xdr:cNvSpPr/>
      </xdr:nvSpPr>
      <xdr:spPr>
        <a:xfrm>
          <a:off x="6052931" y="1969605"/>
          <a:ext cx="733535" cy="25379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Calculate</a:t>
          </a:r>
        </a:p>
      </xdr:txBody>
    </xdr:sp>
    <xdr:clientData fPrintsWithSheet="0"/>
  </xdr:twoCellAnchor>
  <xdr:twoCellAnchor editAs="absolute">
    <xdr:from>
      <xdr:col>7</xdr:col>
      <xdr:colOff>574761</xdr:colOff>
      <xdr:row>10</xdr:row>
      <xdr:rowOff>56322</xdr:rowOff>
    </xdr:from>
    <xdr:to>
      <xdr:col>7</xdr:col>
      <xdr:colOff>1091109</xdr:colOff>
      <xdr:row>10</xdr:row>
      <xdr:rowOff>310118</xdr:rowOff>
    </xdr:to>
    <xdr:sp macro="[0]!Hoja1.LimpiaResInt_Click" textlink="">
      <xdr:nvSpPr>
        <xdr:cNvPr id="31" name="Rectángulo 30"/>
        <xdr:cNvSpPr/>
      </xdr:nvSpPr>
      <xdr:spPr>
        <a:xfrm>
          <a:off x="6844696" y="1969605"/>
          <a:ext cx="516348" cy="253796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Clean</a:t>
          </a:r>
        </a:p>
      </xdr:txBody>
    </xdr:sp>
    <xdr:clientData fPrintsWithSheet="0"/>
  </xdr:twoCellAnchor>
  <xdr:twoCellAnchor>
    <xdr:from>
      <xdr:col>10</xdr:col>
      <xdr:colOff>49696</xdr:colOff>
      <xdr:row>0</xdr:row>
      <xdr:rowOff>74544</xdr:rowOff>
    </xdr:from>
    <xdr:to>
      <xdr:col>13</xdr:col>
      <xdr:colOff>843584</xdr:colOff>
      <xdr:row>9</xdr:row>
      <xdr:rowOff>132522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57884</xdr:colOff>
      <xdr:row>1</xdr:row>
      <xdr:rowOff>42168</xdr:rowOff>
    </xdr:from>
    <xdr:to>
      <xdr:col>10</xdr:col>
      <xdr:colOff>569406</xdr:colOff>
      <xdr:row>24</xdr:row>
      <xdr:rowOff>152400</xdr:rowOff>
    </xdr:to>
    <xdr:grpSp>
      <xdr:nvGrpSpPr>
        <xdr:cNvPr id="4" name="Group 23"/>
        <xdr:cNvGrpSpPr>
          <a:grpSpLocks/>
        </xdr:cNvGrpSpPr>
      </xdr:nvGrpSpPr>
      <xdr:grpSpPr bwMode="auto">
        <a:xfrm>
          <a:off x="8439884" y="311109"/>
          <a:ext cx="1273522" cy="4995997"/>
          <a:chOff x="-117" y="259"/>
          <a:chExt cx="160" cy="667"/>
        </a:xfrm>
      </xdr:grpSpPr>
      <xdr:sp macro="" textlink="">
        <xdr:nvSpPr>
          <xdr:cNvPr id="5" name="Rectangle 22"/>
          <xdr:cNvSpPr>
            <a:spLocks noChangeArrowheads="1"/>
          </xdr:cNvSpPr>
        </xdr:nvSpPr>
        <xdr:spPr bwMode="auto">
          <a:xfrm>
            <a:off x="-117" y="259"/>
            <a:ext cx="160" cy="667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5" name="MuelleTipo1" hidden="1">
                <a:extLst>
                  <a:ext uri="{63B3BB69-23CF-44E3-9099-C40C66FF867C}">
                    <a14:compatExt spid="_x0000_s8195"/>
                  </a:ext>
                </a:extLst>
              </xdr:cNvPr>
              <xdr:cNvSpPr/>
            </xdr:nvSpPr>
            <xdr:spPr>
              <a:xfrm>
                <a:off x="-110" y="298"/>
                <a:ext cx="104" cy="28"/>
              </a:xfrm>
              <a:prstGeom prst="rect">
                <a:avLst/>
              </a:prstGeom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6" name="MuelleTipo2" hidden="1">
                <a:extLst>
                  <a:ext uri="{63B3BB69-23CF-44E3-9099-C40C66FF867C}">
                    <a14:compatExt spid="_x0000_s8196"/>
                  </a:ext>
                </a:extLst>
              </xdr:cNvPr>
              <xdr:cNvSpPr/>
            </xdr:nvSpPr>
            <xdr:spPr>
              <a:xfrm>
                <a:off x="-110" y="460"/>
                <a:ext cx="104" cy="28"/>
              </a:xfrm>
              <a:prstGeom prst="rect">
                <a:avLst/>
              </a:prstGeom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7" name="MuelleTipo3" hidden="1">
                <a:extLst>
                  <a:ext uri="{63B3BB69-23CF-44E3-9099-C40C66FF867C}">
                    <a14:compatExt spid="_x0000_s8197"/>
                  </a:ext>
                </a:extLst>
              </xdr:cNvPr>
              <xdr:cNvSpPr/>
            </xdr:nvSpPr>
            <xdr:spPr>
              <a:xfrm>
                <a:off x="-110" y="621"/>
                <a:ext cx="104" cy="28"/>
              </a:xfrm>
              <a:prstGeom prst="rect">
                <a:avLst/>
              </a:prstGeom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8" name="MuelleTipo4" hidden="1">
                <a:extLst>
                  <a:ext uri="{63B3BB69-23CF-44E3-9099-C40C66FF867C}">
                    <a14:compatExt spid="_x0000_s8198"/>
                  </a:ext>
                </a:extLst>
              </xdr:cNvPr>
              <xdr:cNvSpPr/>
            </xdr:nvSpPr>
            <xdr:spPr>
              <a:xfrm>
                <a:off x="-110" y="783"/>
                <a:ext cx="104" cy="28"/>
              </a:xfrm>
              <a:prstGeom prst="rect">
                <a:avLst/>
              </a:prstGeom>
            </xdr:spPr>
          </xdr:sp>
        </mc:Choice>
        <mc:Fallback/>
      </mc:AlternateContent>
      <xdr:pic>
        <xdr:nvPicPr>
          <xdr:cNvPr id="13" name="Picture 14" descr="PCR"/>
          <xdr:cNvPicPr>
            <a:picLocks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-79" y="331"/>
            <a:ext cx="111" cy="107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9" name="Picture 11" descr="PCSR"/>
          <xdr:cNvPicPr>
            <a:picLocks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-79" y="654"/>
            <a:ext cx="111" cy="107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0" name="Picture 12" descr="PAR"/>
          <xdr:cNvPicPr>
            <a:picLocks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-79" y="492"/>
            <a:ext cx="111" cy="107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1" name="Picture 13" descr="PASR"/>
          <xdr:cNvPicPr>
            <a:picLocks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-79" y="815"/>
            <a:ext cx="111" cy="107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11</xdr:col>
      <xdr:colOff>133351</xdr:colOff>
      <xdr:row>14</xdr:row>
      <xdr:rowOff>38099</xdr:rowOff>
    </xdr:from>
    <xdr:to>
      <xdr:col>15</xdr:col>
      <xdr:colOff>847725</xdr:colOff>
      <xdr:row>24</xdr:row>
      <xdr:rowOff>123824</xdr:rowOff>
    </xdr:to>
    <xdr:graphicFrame macro="">
      <xdr:nvGraphicFramePr>
        <xdr:cNvPr id="18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38100</xdr:colOff>
      <xdr:row>0</xdr:row>
      <xdr:rowOff>85725</xdr:rowOff>
    </xdr:from>
    <xdr:to>
      <xdr:col>0</xdr:col>
      <xdr:colOff>514350</xdr:colOff>
      <xdr:row>1</xdr:row>
      <xdr:rowOff>304800</xdr:rowOff>
    </xdr:to>
    <xdr:grpSp>
      <xdr:nvGrpSpPr>
        <xdr:cNvPr id="3" name="Grupo 2"/>
        <xdr:cNvGrpSpPr/>
      </xdr:nvGrpSpPr>
      <xdr:grpSpPr>
        <a:xfrm>
          <a:off x="38100" y="85725"/>
          <a:ext cx="476250" cy="488016"/>
          <a:chOff x="133350" y="38100"/>
          <a:chExt cx="476250" cy="485775"/>
        </a:xfrm>
      </xdr:grpSpPr>
      <xdr:sp macro="[0]!MuelleComp2KToHome" textlink="">
        <xdr:nvSpPr>
          <xdr:cNvPr id="2" name="Rectángulo 1"/>
          <xdr:cNvSpPr/>
        </xdr:nvSpPr>
        <xdr:spPr>
          <a:xfrm>
            <a:off x="133350" y="38100"/>
            <a:ext cx="476250" cy="485775"/>
          </a:xfrm>
          <a:prstGeom prst="rect">
            <a:avLst/>
          </a:prstGeom>
          <a:solidFill>
            <a:schemeClr val="bg1"/>
          </a:solidFill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 macro="[0]!MuelleComp2KToHome">
        <xdr:nvPicPr>
          <xdr:cNvPr id="22" name="Imagen 21" descr="Icône Quitter Clip Art Libres De Droits , Vecteurs Et Illustration ..."/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1925" y="85725"/>
            <a:ext cx="409575" cy="41508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7</xdr:row>
          <xdr:rowOff>38100</xdr:rowOff>
        </xdr:from>
        <xdr:to>
          <xdr:col>7</xdr:col>
          <xdr:colOff>476250</xdr:colOff>
          <xdr:row>9</xdr:row>
          <xdr:rowOff>76200</xdr:rowOff>
        </xdr:to>
        <xdr:sp macro="" textlink="">
          <xdr:nvSpPr>
            <xdr:cNvPr id="8207" name="ShotPeening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57884</xdr:colOff>
      <xdr:row>1</xdr:row>
      <xdr:rowOff>42169</xdr:rowOff>
    </xdr:from>
    <xdr:to>
      <xdr:col>10</xdr:col>
      <xdr:colOff>345425</xdr:colOff>
      <xdr:row>1</xdr:row>
      <xdr:rowOff>361640</xdr:rowOff>
    </xdr:to>
    <xdr:sp macro="" textlink="">
      <xdr:nvSpPr>
        <xdr:cNvPr id="23" name="TextBox 1"/>
        <xdr:cNvSpPr txBox="1"/>
      </xdr:nvSpPr>
      <xdr:spPr>
        <a:xfrm>
          <a:off x="9144734" y="308869"/>
          <a:ext cx="1049541" cy="3194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r"/>
          <a:r>
            <a:rPr lang="es-ES" sz="1400" b="1" u="sng"/>
            <a:t>Spring ends</a:t>
          </a:r>
        </a:p>
      </xdr:txBody>
    </xdr:sp>
    <xdr:clientData/>
  </xdr:twoCellAnchor>
  <xdr:twoCellAnchor editAs="absolute">
    <xdr:from>
      <xdr:col>7</xdr:col>
      <xdr:colOff>447675</xdr:colOff>
      <xdr:row>10</xdr:row>
      <xdr:rowOff>38100</xdr:rowOff>
    </xdr:from>
    <xdr:to>
      <xdr:col>8</xdr:col>
      <xdr:colOff>571610</xdr:colOff>
      <xdr:row>10</xdr:row>
      <xdr:rowOff>291896</xdr:rowOff>
    </xdr:to>
    <xdr:sp macro="[0]!Hoja8.CalcResInt_Click" textlink="">
      <xdr:nvSpPr>
        <xdr:cNvPr id="24" name="Rectángulo 23"/>
        <xdr:cNvSpPr/>
      </xdr:nvSpPr>
      <xdr:spPr>
        <a:xfrm>
          <a:off x="6600825" y="1981200"/>
          <a:ext cx="733535" cy="25379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Calculate</a:t>
          </a:r>
        </a:p>
      </xdr:txBody>
    </xdr:sp>
    <xdr:clientData fPrintsWithSheet="0"/>
  </xdr:twoCellAnchor>
  <xdr:twoCellAnchor editAs="absolute">
    <xdr:from>
      <xdr:col>8</xdr:col>
      <xdr:colOff>629840</xdr:colOff>
      <xdr:row>10</xdr:row>
      <xdr:rowOff>38100</xdr:rowOff>
    </xdr:from>
    <xdr:to>
      <xdr:col>8</xdr:col>
      <xdr:colOff>1146188</xdr:colOff>
      <xdr:row>10</xdr:row>
      <xdr:rowOff>291896</xdr:rowOff>
    </xdr:to>
    <xdr:sp macro="[0]!Hoja8.LimpiaResInt_Click" textlink="">
      <xdr:nvSpPr>
        <xdr:cNvPr id="25" name="Rectángulo 24"/>
        <xdr:cNvSpPr/>
      </xdr:nvSpPr>
      <xdr:spPr>
        <a:xfrm>
          <a:off x="7392590" y="1981200"/>
          <a:ext cx="516348" cy="253796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Clean</a:t>
          </a:r>
        </a:p>
      </xdr:txBody>
    </xdr:sp>
    <xdr:clientData fPrintsWithSheet="0"/>
  </xdr:twoCellAnchor>
  <xdr:twoCellAnchor editAs="absolute">
    <xdr:from>
      <xdr:col>4</xdr:col>
      <xdr:colOff>914400</xdr:colOff>
      <xdr:row>10</xdr:row>
      <xdr:rowOff>28575</xdr:rowOff>
    </xdr:from>
    <xdr:to>
      <xdr:col>4</xdr:col>
      <xdr:colOff>1647935</xdr:colOff>
      <xdr:row>10</xdr:row>
      <xdr:rowOff>282371</xdr:rowOff>
    </xdr:to>
    <xdr:sp macro="[0]!Hoja8.CalculaEsfuerzos_Click" textlink="">
      <xdr:nvSpPr>
        <xdr:cNvPr id="27" name="Rectángulo 26"/>
        <xdr:cNvSpPr/>
      </xdr:nvSpPr>
      <xdr:spPr>
        <a:xfrm>
          <a:off x="3619500" y="1971675"/>
          <a:ext cx="733535" cy="25379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Calculate</a:t>
          </a:r>
        </a:p>
      </xdr:txBody>
    </xdr:sp>
    <xdr:clientData fPrintsWithSheet="0"/>
  </xdr:twoCellAnchor>
  <xdr:twoCellAnchor editAs="absolute">
    <xdr:from>
      <xdr:col>4</xdr:col>
      <xdr:colOff>1706165</xdr:colOff>
      <xdr:row>10</xdr:row>
      <xdr:rowOff>28575</xdr:rowOff>
    </xdr:from>
    <xdr:to>
      <xdr:col>4</xdr:col>
      <xdr:colOff>2222513</xdr:colOff>
      <xdr:row>10</xdr:row>
      <xdr:rowOff>282371</xdr:rowOff>
    </xdr:to>
    <xdr:sp macro="[0]!Hoja8.LimpiaEsfuer_Click" textlink="">
      <xdr:nvSpPr>
        <xdr:cNvPr id="28" name="Rectángulo 27"/>
        <xdr:cNvSpPr/>
      </xdr:nvSpPr>
      <xdr:spPr>
        <a:xfrm>
          <a:off x="4411265" y="1971675"/>
          <a:ext cx="516348" cy="253796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Clean</a:t>
          </a:r>
        </a:p>
      </xdr:txBody>
    </xdr:sp>
    <xdr:clientData fPrintsWithSheet="0"/>
  </xdr:twoCellAnchor>
  <xdr:twoCellAnchor editAs="absolute">
    <xdr:from>
      <xdr:col>4</xdr:col>
      <xdr:colOff>914400</xdr:colOff>
      <xdr:row>1</xdr:row>
      <xdr:rowOff>47625</xdr:rowOff>
    </xdr:from>
    <xdr:to>
      <xdr:col>4</xdr:col>
      <xdr:colOff>1647935</xdr:colOff>
      <xdr:row>1</xdr:row>
      <xdr:rowOff>301421</xdr:rowOff>
    </xdr:to>
    <xdr:sp macro="[0]!Hoja8.CalcularDiametros_Click" textlink="">
      <xdr:nvSpPr>
        <xdr:cNvPr id="29" name="Rectángulo 28"/>
        <xdr:cNvSpPr/>
      </xdr:nvSpPr>
      <xdr:spPr>
        <a:xfrm>
          <a:off x="3619500" y="314325"/>
          <a:ext cx="733535" cy="25379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Calculate</a:t>
          </a:r>
        </a:p>
      </xdr:txBody>
    </xdr:sp>
    <xdr:clientData fPrintsWithSheet="0"/>
  </xdr:twoCellAnchor>
  <xdr:twoCellAnchor editAs="absolute">
    <xdr:from>
      <xdr:col>4</xdr:col>
      <xdr:colOff>1706165</xdr:colOff>
      <xdr:row>1</xdr:row>
      <xdr:rowOff>47625</xdr:rowOff>
    </xdr:from>
    <xdr:to>
      <xdr:col>4</xdr:col>
      <xdr:colOff>2222513</xdr:colOff>
      <xdr:row>1</xdr:row>
      <xdr:rowOff>301421</xdr:rowOff>
    </xdr:to>
    <xdr:sp macro="[0]!Hoja8.LimpiarDiam_Click" textlink="">
      <xdr:nvSpPr>
        <xdr:cNvPr id="30" name="Rectángulo 29"/>
        <xdr:cNvSpPr/>
      </xdr:nvSpPr>
      <xdr:spPr>
        <a:xfrm>
          <a:off x="4411265" y="314325"/>
          <a:ext cx="516348" cy="253796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Clean</a:t>
          </a:r>
        </a:p>
      </xdr:txBody>
    </xdr:sp>
    <xdr:clientData fPrintsWithSheet="0"/>
  </xdr:twoCellAnchor>
  <xdr:twoCellAnchor>
    <xdr:from>
      <xdr:col>11</xdr:col>
      <xdr:colOff>85723</xdr:colOff>
      <xdr:row>0</xdr:row>
      <xdr:rowOff>38100</xdr:rowOff>
    </xdr:from>
    <xdr:to>
      <xdr:col>15</xdr:col>
      <xdr:colOff>885824</xdr:colOff>
      <xdr:row>11</xdr:row>
      <xdr:rowOff>142875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7</xdr:row>
          <xdr:rowOff>123825</xdr:rowOff>
        </xdr:from>
        <xdr:to>
          <xdr:col>7</xdr:col>
          <xdr:colOff>1590675</xdr:colOff>
          <xdr:row>9</xdr:row>
          <xdr:rowOff>104775</xdr:rowOff>
        </xdr:to>
        <xdr:sp macro="" textlink="">
          <xdr:nvSpPr>
            <xdr:cNvPr id="12303" name="Pretension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9</xdr:col>
      <xdr:colOff>1</xdr:colOff>
      <xdr:row>14</xdr:row>
      <xdr:rowOff>19050</xdr:rowOff>
    </xdr:from>
    <xdr:to>
      <xdr:col>14</xdr:col>
      <xdr:colOff>695325</xdr:colOff>
      <xdr:row>24</xdr:row>
      <xdr:rowOff>142875</xdr:rowOff>
    </xdr:to>
    <xdr:graphicFrame macro="">
      <xdr:nvGraphicFramePr>
        <xdr:cNvPr id="28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19050</xdr:rowOff>
    </xdr:from>
    <xdr:to>
      <xdr:col>1</xdr:col>
      <xdr:colOff>32817</xdr:colOff>
      <xdr:row>1</xdr:row>
      <xdr:rowOff>349810</xdr:rowOff>
    </xdr:to>
    <xdr:pic macro="[0]!MuelleTensToHome"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9050"/>
          <a:ext cx="585267" cy="59746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7</xdr:row>
          <xdr:rowOff>133350</xdr:rowOff>
        </xdr:from>
        <xdr:to>
          <xdr:col>6</xdr:col>
          <xdr:colOff>209550</xdr:colOff>
          <xdr:row>9</xdr:row>
          <xdr:rowOff>95250</xdr:rowOff>
        </xdr:to>
        <xdr:sp macro="" textlink="">
          <xdr:nvSpPr>
            <xdr:cNvPr id="12304" name="ShotPeening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428625</xdr:colOff>
      <xdr:row>10</xdr:row>
      <xdr:rowOff>38100</xdr:rowOff>
    </xdr:from>
    <xdr:to>
      <xdr:col>7</xdr:col>
      <xdr:colOff>276335</xdr:colOff>
      <xdr:row>10</xdr:row>
      <xdr:rowOff>291896</xdr:rowOff>
    </xdr:to>
    <xdr:sp macro="[0]!Hoja5.CalcResInt_Click" textlink="">
      <xdr:nvSpPr>
        <xdr:cNvPr id="30" name="Rectángulo 29"/>
        <xdr:cNvSpPr/>
      </xdr:nvSpPr>
      <xdr:spPr>
        <a:xfrm>
          <a:off x="6410325" y="2295525"/>
          <a:ext cx="733535" cy="25379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Calculate</a:t>
          </a:r>
        </a:p>
      </xdr:txBody>
    </xdr:sp>
    <xdr:clientData/>
  </xdr:twoCellAnchor>
  <xdr:twoCellAnchor>
    <xdr:from>
      <xdr:col>7</xdr:col>
      <xdr:colOff>334565</xdr:colOff>
      <xdr:row>10</xdr:row>
      <xdr:rowOff>38100</xdr:rowOff>
    </xdr:from>
    <xdr:to>
      <xdr:col>7</xdr:col>
      <xdr:colOff>850913</xdr:colOff>
      <xdr:row>10</xdr:row>
      <xdr:rowOff>291896</xdr:rowOff>
    </xdr:to>
    <xdr:sp macro="[0]!Hoja5.LimpiaResInt_Click" textlink="">
      <xdr:nvSpPr>
        <xdr:cNvPr id="31" name="Rectángulo 30"/>
        <xdr:cNvSpPr/>
      </xdr:nvSpPr>
      <xdr:spPr>
        <a:xfrm>
          <a:off x="7202090" y="2295525"/>
          <a:ext cx="516348" cy="253796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Cleanº</a:t>
          </a:r>
        </a:p>
      </xdr:txBody>
    </xdr:sp>
    <xdr:clientData/>
  </xdr:twoCellAnchor>
  <xdr:twoCellAnchor>
    <xdr:from>
      <xdr:col>3</xdr:col>
      <xdr:colOff>1304925</xdr:colOff>
      <xdr:row>10</xdr:row>
      <xdr:rowOff>47625</xdr:rowOff>
    </xdr:from>
    <xdr:to>
      <xdr:col>3</xdr:col>
      <xdr:colOff>2038460</xdr:colOff>
      <xdr:row>10</xdr:row>
      <xdr:rowOff>301421</xdr:rowOff>
    </xdr:to>
    <xdr:sp macro="[0]!Hoja5.CalculaEsfuerzos_Click" textlink="">
      <xdr:nvSpPr>
        <xdr:cNvPr id="32" name="Rectángulo 31"/>
        <xdr:cNvSpPr/>
      </xdr:nvSpPr>
      <xdr:spPr>
        <a:xfrm>
          <a:off x="3200400" y="2305050"/>
          <a:ext cx="733535" cy="25379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Calculate</a:t>
          </a:r>
        </a:p>
      </xdr:txBody>
    </xdr:sp>
    <xdr:clientData/>
  </xdr:twoCellAnchor>
  <xdr:twoCellAnchor>
    <xdr:from>
      <xdr:col>3</xdr:col>
      <xdr:colOff>2096690</xdr:colOff>
      <xdr:row>10</xdr:row>
      <xdr:rowOff>47625</xdr:rowOff>
    </xdr:from>
    <xdr:to>
      <xdr:col>3</xdr:col>
      <xdr:colOff>2613038</xdr:colOff>
      <xdr:row>10</xdr:row>
      <xdr:rowOff>301421</xdr:rowOff>
    </xdr:to>
    <xdr:sp macro="[0]!Hoja5.LimpiaEsfuer_Click" textlink="">
      <xdr:nvSpPr>
        <xdr:cNvPr id="33" name="Rectángulo 32"/>
        <xdr:cNvSpPr/>
      </xdr:nvSpPr>
      <xdr:spPr>
        <a:xfrm>
          <a:off x="3992165" y="2305050"/>
          <a:ext cx="516348" cy="253796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Cleanº</a:t>
          </a:r>
        </a:p>
      </xdr:txBody>
    </xdr:sp>
    <xdr:clientData/>
  </xdr:twoCellAnchor>
  <xdr:twoCellAnchor>
    <xdr:from>
      <xdr:col>3</xdr:col>
      <xdr:colOff>1304925</xdr:colOff>
      <xdr:row>1</xdr:row>
      <xdr:rowOff>76200</xdr:rowOff>
    </xdr:from>
    <xdr:to>
      <xdr:col>3</xdr:col>
      <xdr:colOff>2038460</xdr:colOff>
      <xdr:row>1</xdr:row>
      <xdr:rowOff>329996</xdr:rowOff>
    </xdr:to>
    <xdr:sp macro="[0]!Hoja5.CalcularDiametros_Click" textlink="">
      <xdr:nvSpPr>
        <xdr:cNvPr id="35" name="Rectángulo 34"/>
        <xdr:cNvSpPr/>
      </xdr:nvSpPr>
      <xdr:spPr>
        <a:xfrm>
          <a:off x="3200400" y="342900"/>
          <a:ext cx="733535" cy="25379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Calculate</a:t>
          </a:r>
        </a:p>
      </xdr:txBody>
    </xdr:sp>
    <xdr:clientData/>
  </xdr:twoCellAnchor>
  <xdr:twoCellAnchor>
    <xdr:from>
      <xdr:col>3</xdr:col>
      <xdr:colOff>2096690</xdr:colOff>
      <xdr:row>1</xdr:row>
      <xdr:rowOff>76200</xdr:rowOff>
    </xdr:from>
    <xdr:to>
      <xdr:col>3</xdr:col>
      <xdr:colOff>2613038</xdr:colOff>
      <xdr:row>1</xdr:row>
      <xdr:rowOff>329996</xdr:rowOff>
    </xdr:to>
    <xdr:sp macro="[0]!Hoja5.LimpiarDiam_Click" textlink="">
      <xdr:nvSpPr>
        <xdr:cNvPr id="36" name="Rectángulo 35"/>
        <xdr:cNvSpPr/>
      </xdr:nvSpPr>
      <xdr:spPr>
        <a:xfrm>
          <a:off x="3992165" y="342900"/>
          <a:ext cx="516348" cy="253796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Cleanº</a:t>
          </a:r>
        </a:p>
      </xdr:txBody>
    </xdr:sp>
    <xdr:clientData/>
  </xdr:twoCellAnchor>
  <xdr:twoCellAnchor editAs="absolute">
    <xdr:from>
      <xdr:col>8</xdr:col>
      <xdr:colOff>19754</xdr:colOff>
      <xdr:row>0</xdr:row>
      <xdr:rowOff>0</xdr:rowOff>
    </xdr:from>
    <xdr:to>
      <xdr:col>10</xdr:col>
      <xdr:colOff>385926</xdr:colOff>
      <xdr:row>11</xdr:row>
      <xdr:rowOff>151038</xdr:rowOff>
    </xdr:to>
    <xdr:grpSp>
      <xdr:nvGrpSpPr>
        <xdr:cNvPr id="6" name="Grupo 5"/>
        <xdr:cNvGrpSpPr/>
      </xdr:nvGrpSpPr>
      <xdr:grpSpPr>
        <a:xfrm>
          <a:off x="9030404" y="0"/>
          <a:ext cx="1890172" cy="2760888"/>
          <a:chOff x="12403568" y="282513"/>
          <a:chExt cx="1890501" cy="2739210"/>
        </a:xfrm>
      </xdr:grpSpPr>
      <xdr:sp macro="" textlink="">
        <xdr:nvSpPr>
          <xdr:cNvPr id="10" name="Rectangle 22"/>
          <xdr:cNvSpPr>
            <a:spLocks noChangeArrowheads="1"/>
          </xdr:cNvSpPr>
        </xdr:nvSpPr>
        <xdr:spPr bwMode="auto">
          <a:xfrm>
            <a:off x="12435052" y="295602"/>
            <a:ext cx="1859017" cy="27261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297" name="OptionButton3" hidden="1">
                <a:extLst>
                  <a:ext uri="{63B3BB69-23CF-44E3-9099-C40C66FF867C}">
                    <a14:compatExt spid="_x0000_s12297"/>
                  </a:ext>
                </a:extLst>
              </xdr:cNvPr>
              <xdr:cNvSpPr/>
            </xdr:nvSpPr>
            <xdr:spPr>
              <a:xfrm>
                <a:off x="12481840" y="1854383"/>
                <a:ext cx="780860" cy="235122"/>
              </a:xfrm>
              <a:prstGeom prst="rect">
                <a:avLst/>
              </a:prstGeom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298" name="OptionButton4" hidden="1">
                <a:extLst>
                  <a:ext uri="{63B3BB69-23CF-44E3-9099-C40C66FF867C}">
                    <a14:compatExt spid="_x0000_s12298"/>
                  </a:ext>
                </a:extLst>
              </xdr:cNvPr>
              <xdr:cNvSpPr/>
            </xdr:nvSpPr>
            <xdr:spPr>
              <a:xfrm>
                <a:off x="12481840" y="802734"/>
                <a:ext cx="780860" cy="238164"/>
              </a:xfrm>
              <a:prstGeom prst="rect">
                <a:avLst/>
              </a:prstGeom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300" name="OptionButton5" hidden="1">
                <a:extLst>
                  <a:ext uri="{63B3BB69-23CF-44E3-9099-C40C66FF867C}">
                    <a14:compatExt spid="_x0000_s12300"/>
                  </a:ext>
                </a:extLst>
              </xdr:cNvPr>
              <xdr:cNvSpPr/>
            </xdr:nvSpPr>
            <xdr:spPr>
              <a:xfrm>
                <a:off x="12481840" y="1575738"/>
                <a:ext cx="780860" cy="238165"/>
              </a:xfrm>
              <a:prstGeom prst="rect">
                <a:avLst/>
              </a:prstGeom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301" name="OptionButton7" hidden="1">
                <a:extLst>
                  <a:ext uri="{63B3BB69-23CF-44E3-9099-C40C66FF867C}">
                    <a14:compatExt spid="_x0000_s12301"/>
                  </a:ext>
                </a:extLst>
              </xdr:cNvPr>
              <xdr:cNvSpPr/>
            </xdr:nvSpPr>
            <xdr:spPr>
              <a:xfrm>
                <a:off x="12481840" y="2646832"/>
                <a:ext cx="780860" cy="238164"/>
              </a:xfrm>
              <a:prstGeom prst="rect">
                <a:avLst/>
              </a:prstGeom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302" name="OptionButton8" hidden="1">
                <a:extLst>
                  <a:ext uri="{63B3BB69-23CF-44E3-9099-C40C66FF867C}">
                    <a14:compatExt spid="_x0000_s12302"/>
                  </a:ext>
                </a:extLst>
              </xdr:cNvPr>
              <xdr:cNvSpPr/>
            </xdr:nvSpPr>
            <xdr:spPr>
              <a:xfrm>
                <a:off x="12481840" y="2367832"/>
                <a:ext cx="780860" cy="238164"/>
              </a:xfrm>
              <a:prstGeom prst="rect">
                <a:avLst/>
              </a:prstGeom>
            </xdr:spPr>
          </xdr:sp>
        </mc:Choice>
        <mc:Fallback/>
      </mc:AlternateContent>
      <xdr:pic>
        <xdr:nvPicPr>
          <xdr:cNvPr id="21" name="2 Imagen"/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7687" b="43754"/>
          <a:stretch/>
        </xdr:blipFill>
        <xdr:spPr bwMode="auto">
          <a:xfrm>
            <a:off x="13341090" y="1088932"/>
            <a:ext cx="252044" cy="249840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2" name="3 Imagen"/>
          <xdr:cNvPicPr>
            <a:picLocks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6964" b="44228"/>
          <a:stretch/>
        </xdr:blipFill>
        <xdr:spPr bwMode="auto">
          <a:xfrm>
            <a:off x="13341090" y="1847023"/>
            <a:ext cx="252044" cy="249840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3" name="4 Imagen"/>
          <xdr:cNvPicPr>
            <a:picLocks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5873" t="-4733" r="-2208" b="49786"/>
          <a:stretch/>
        </xdr:blipFill>
        <xdr:spPr bwMode="auto">
          <a:xfrm>
            <a:off x="13341090" y="796896"/>
            <a:ext cx="252044" cy="249840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4" name="5 Imagen"/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33442"/>
          <a:stretch/>
        </xdr:blipFill>
        <xdr:spPr bwMode="auto">
          <a:xfrm>
            <a:off x="13700718" y="1641658"/>
            <a:ext cx="496029" cy="42896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6" name="7 Imagen"/>
          <xdr:cNvPicPr>
            <a:picLocks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72698" b="47109"/>
          <a:stretch/>
        </xdr:blipFill>
        <xdr:spPr bwMode="auto">
          <a:xfrm>
            <a:off x="13341090" y="2361994"/>
            <a:ext cx="252044" cy="249840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4" name="Imagen 33"/>
          <xdr:cNvPicPr>
            <a:picLocks noChangeArrowheads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7137" b="53383"/>
          <a:stretch/>
        </xdr:blipFill>
        <xdr:spPr bwMode="auto">
          <a:xfrm>
            <a:off x="13341090" y="2640994"/>
            <a:ext cx="252044" cy="249840"/>
          </a:xfrm>
          <a:prstGeom prst="rect">
            <a:avLst/>
          </a:prstGeom>
          <a:noFill/>
          <a:ln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38" name="2 Imagen"/>
          <xdr:cNvPicPr>
            <a:picLocks noChangeAspect="1"/>
          </xdr:cNvPicPr>
        </xdr:nvPicPr>
        <xdr:blipFill rotWithShape="1"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27166"/>
          <a:stretch/>
        </xdr:blipFill>
        <xdr:spPr bwMode="auto">
          <a:xfrm>
            <a:off x="13700718" y="762111"/>
            <a:ext cx="509239" cy="4289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CuadroTexto 3"/>
          <xdr:cNvSpPr txBox="1"/>
        </xdr:nvSpPr>
        <xdr:spPr>
          <a:xfrm>
            <a:off x="12403568" y="282513"/>
            <a:ext cx="100965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100" b="1" u="sng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Spring ends</a:t>
            </a:r>
            <a:endParaRPr lang="es-ES">
              <a:effectLst/>
            </a:endParaRPr>
          </a:p>
        </xdr:txBody>
      </xdr:sp>
      <xdr:sp macro="" textlink="">
        <xdr:nvSpPr>
          <xdr:cNvPr id="5" name="CuadroTexto 4"/>
          <xdr:cNvSpPr txBox="1"/>
        </xdr:nvSpPr>
        <xdr:spPr>
          <a:xfrm>
            <a:off x="12481840" y="559155"/>
            <a:ext cx="123764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/>
              <a:t>German Ring Type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296" name="OptionButton2" hidden="1">
                <a:extLst>
                  <a:ext uri="{63B3BB69-23CF-44E3-9099-C40C66FF867C}">
                    <a14:compatExt spid="_x0000_s12296"/>
                  </a:ext>
                </a:extLst>
              </xdr:cNvPr>
              <xdr:cNvSpPr/>
            </xdr:nvSpPr>
            <xdr:spPr>
              <a:xfrm>
                <a:off x="12481840" y="1094770"/>
                <a:ext cx="780860" cy="238164"/>
              </a:xfrm>
              <a:prstGeom prst="rect">
                <a:avLst/>
              </a:prstGeom>
            </xdr:spPr>
          </xdr:sp>
        </mc:Choice>
        <mc:Fallback/>
      </mc:AlternateContent>
      <xdr:sp macro="" textlink="">
        <xdr:nvSpPr>
          <xdr:cNvPr id="39" name="CuadroTexto 38"/>
          <xdr:cNvSpPr txBox="1"/>
        </xdr:nvSpPr>
        <xdr:spPr>
          <a:xfrm>
            <a:off x="12481840" y="1355546"/>
            <a:ext cx="168155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/>
              <a:t>German Double</a:t>
            </a:r>
            <a:r>
              <a:rPr lang="es-ES" sz="1100" baseline="0"/>
              <a:t> </a:t>
            </a:r>
            <a:r>
              <a:rPr lang="es-ES" sz="1100"/>
              <a:t>Ring Type</a:t>
            </a:r>
          </a:p>
        </xdr:txBody>
      </xdr:sp>
      <xdr:pic>
        <xdr:nvPicPr>
          <xdr:cNvPr id="40" name="5 Imagen"/>
          <xdr:cNvPicPr>
            <a:picLocks/>
          </xdr:cNvPicPr>
        </xdr:nvPicPr>
        <xdr:blipFill rotWithShape="1"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5178" b="48488"/>
          <a:stretch/>
        </xdr:blipFill>
        <xdr:spPr bwMode="auto">
          <a:xfrm>
            <a:off x="13341090" y="1569900"/>
            <a:ext cx="252044" cy="249840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1" name="CuadroTexto 40"/>
          <xdr:cNvSpPr txBox="1"/>
        </xdr:nvSpPr>
        <xdr:spPr>
          <a:xfrm>
            <a:off x="12481840" y="2124214"/>
            <a:ext cx="1231320" cy="26248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/>
              <a:t>Opened Ring Type</a:t>
            </a:r>
          </a:p>
        </xdr:txBody>
      </xdr:sp>
      <xdr:pic>
        <xdr:nvPicPr>
          <xdr:cNvPr id="43" name="Imagen 42"/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29012"/>
          <a:stretch/>
        </xdr:blipFill>
        <xdr:spPr bwMode="auto">
          <a:xfrm>
            <a:off x="13700718" y="2406131"/>
            <a:ext cx="513885" cy="489371"/>
          </a:xfrm>
          <a:prstGeom prst="rect">
            <a:avLst/>
          </a:prstGeom>
          <a:noFill/>
          <a:ln>
            <a:solidFill>
              <a:srgbClr val="000000"/>
            </a:solidFill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11</xdr:col>
      <xdr:colOff>29232</xdr:colOff>
      <xdr:row>0</xdr:row>
      <xdr:rowOff>0</xdr:rowOff>
    </xdr:from>
    <xdr:to>
      <xdr:col>14</xdr:col>
      <xdr:colOff>851647</xdr:colOff>
      <xdr:row>11</xdr:row>
      <xdr:rowOff>123265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5</xdr:row>
          <xdr:rowOff>47625</xdr:rowOff>
        </xdr:from>
        <xdr:to>
          <xdr:col>1</xdr:col>
          <xdr:colOff>657225</xdr:colOff>
          <xdr:row>5</xdr:row>
          <xdr:rowOff>219075</xdr:rowOff>
        </xdr:to>
        <xdr:sp macro="" textlink="">
          <xdr:nvSpPr>
            <xdr:cNvPr id="18437" name="SeccRedonda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7</xdr:row>
          <xdr:rowOff>66675</xdr:rowOff>
        </xdr:from>
        <xdr:to>
          <xdr:col>1</xdr:col>
          <xdr:colOff>657225</xdr:colOff>
          <xdr:row>7</xdr:row>
          <xdr:rowOff>247650</xdr:rowOff>
        </xdr:to>
        <xdr:sp macro="" textlink="">
          <xdr:nvSpPr>
            <xdr:cNvPr id="18438" name="SeccRectang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8</xdr:col>
      <xdr:colOff>0</xdr:colOff>
      <xdr:row>9</xdr:row>
      <xdr:rowOff>28575</xdr:rowOff>
    </xdr:from>
    <xdr:to>
      <xdr:col>8</xdr:col>
      <xdr:colOff>9525</xdr:colOff>
      <xdr:row>9</xdr:row>
      <xdr:rowOff>38100</xdr:rowOff>
    </xdr:to>
    <xdr:sp macro="" textlink="">
      <xdr:nvSpPr>
        <xdr:cNvPr id="8" name="CalcRecorrido" hidden="1">
          <a:extLst>
            <a:ext uri="{63B3BB69-23CF-44E3-9099-C40C66FF867C}">
              <a14:compatExt xmlns:a14="http://schemas.microsoft.com/office/drawing/2010/main" spid="_x0000_s1063"/>
            </a:ext>
          </a:extLst>
        </xdr:cNvPr>
        <xdr:cNvSpPr/>
      </xdr:nvSpPr>
      <xdr:spPr>
        <a:xfrm>
          <a:off x="4362450" y="12534900"/>
          <a:ext cx="9525" cy="9525"/>
        </a:xfrm>
        <a:prstGeom prst="rect">
          <a:avLst/>
        </a:prstGeom>
      </xdr:spPr>
    </xdr:sp>
    <xdr:clientData/>
  </xdr:twoCellAnchor>
  <xdr:twoCellAnchor>
    <xdr:from>
      <xdr:col>13</xdr:col>
      <xdr:colOff>74084</xdr:colOff>
      <xdr:row>15</xdr:row>
      <xdr:rowOff>21167</xdr:rowOff>
    </xdr:from>
    <xdr:to>
      <xdr:col>17</xdr:col>
      <xdr:colOff>539750</xdr:colOff>
      <xdr:row>30</xdr:row>
      <xdr:rowOff>54356</xdr:rowOff>
    </xdr:to>
    <xdr:graphicFrame macro="">
      <xdr:nvGraphicFramePr>
        <xdr:cNvPr id="10" name="2 Gráfico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27</xdr:row>
          <xdr:rowOff>76200</xdr:rowOff>
        </xdr:from>
        <xdr:to>
          <xdr:col>3</xdr:col>
          <xdr:colOff>2419350</xdr:colOff>
          <xdr:row>30</xdr:row>
          <xdr:rowOff>95250</xdr:rowOff>
        </xdr:to>
        <xdr:sp macro="" textlink="">
          <xdr:nvSpPr>
            <xdr:cNvPr id="18440" name="ConPatas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14</xdr:col>
      <xdr:colOff>9917</xdr:colOff>
      <xdr:row>0</xdr:row>
      <xdr:rowOff>95249</xdr:rowOff>
    </xdr:from>
    <xdr:to>
      <xdr:col>17</xdr:col>
      <xdr:colOff>614417</xdr:colOff>
      <xdr:row>12</xdr:row>
      <xdr:rowOff>138832</xdr:rowOff>
    </xdr:to>
    <xdr:graphicFrame macro="">
      <xdr:nvGraphicFramePr>
        <xdr:cNvPr id="33" name="Gráfico 3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0</xdr:row>
      <xdr:rowOff>28575</xdr:rowOff>
    </xdr:from>
    <xdr:to>
      <xdr:col>0</xdr:col>
      <xdr:colOff>818029</xdr:colOff>
      <xdr:row>1</xdr:row>
      <xdr:rowOff>291353</xdr:rowOff>
    </xdr:to>
    <xdr:grpSp>
      <xdr:nvGrpSpPr>
        <xdr:cNvPr id="34" name="Grupo 33"/>
        <xdr:cNvGrpSpPr/>
      </xdr:nvGrpSpPr>
      <xdr:grpSpPr>
        <a:xfrm>
          <a:off x="66675" y="28575"/>
          <a:ext cx="751354" cy="696695"/>
          <a:chOff x="133350" y="38100"/>
          <a:chExt cx="476250" cy="485775"/>
        </a:xfrm>
      </xdr:grpSpPr>
      <xdr:sp macro="[0]!MuelleTorsionToHome" textlink="">
        <xdr:nvSpPr>
          <xdr:cNvPr id="35" name="Rectángulo 34"/>
          <xdr:cNvSpPr/>
        </xdr:nvSpPr>
        <xdr:spPr>
          <a:xfrm>
            <a:off x="133350" y="38100"/>
            <a:ext cx="476250" cy="485775"/>
          </a:xfrm>
          <a:prstGeom prst="rect">
            <a:avLst/>
          </a:prstGeom>
          <a:solidFill>
            <a:schemeClr val="bg1"/>
          </a:solidFill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 macro="[0]!MuelleTorsionToHome">
        <xdr:nvPicPr>
          <xdr:cNvPr id="36" name="Imagen 35" descr="Icône Quitter Clip Art Libres De Droits , Vecteurs Et Illustration ...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1925" y="85725"/>
            <a:ext cx="409575" cy="41508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7</xdr:row>
          <xdr:rowOff>28575</xdr:rowOff>
        </xdr:from>
        <xdr:to>
          <xdr:col>6</xdr:col>
          <xdr:colOff>428625</xdr:colOff>
          <xdr:row>7</xdr:row>
          <xdr:rowOff>276225</xdr:rowOff>
        </xdr:to>
        <xdr:sp macro="" textlink="">
          <xdr:nvSpPr>
            <xdr:cNvPr id="18446" name="ShotPeening" hidden="1">
              <a:extLst>
                <a:ext uri="{63B3BB69-23CF-44E3-9099-C40C66FF867C}">
                  <a14:compatExt spid="_x0000_s184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995746</xdr:colOff>
      <xdr:row>1</xdr:row>
      <xdr:rowOff>58779</xdr:rowOff>
    </xdr:from>
    <xdr:to>
      <xdr:col>3</xdr:col>
      <xdr:colOff>1729281</xdr:colOff>
      <xdr:row>1</xdr:row>
      <xdr:rowOff>314559</xdr:rowOff>
    </xdr:to>
    <xdr:sp macro="[0]!Hoja6.CalcularDiametros_Click" textlink="">
      <xdr:nvSpPr>
        <xdr:cNvPr id="2" name="Rectángulo 1"/>
        <xdr:cNvSpPr/>
      </xdr:nvSpPr>
      <xdr:spPr>
        <a:xfrm>
          <a:off x="3507965" y="487404"/>
          <a:ext cx="733535" cy="25578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Calculate</a:t>
          </a:r>
        </a:p>
      </xdr:txBody>
    </xdr:sp>
    <xdr:clientData/>
  </xdr:twoCellAnchor>
  <xdr:twoCellAnchor>
    <xdr:from>
      <xdr:col>3</xdr:col>
      <xdr:colOff>1787511</xdr:colOff>
      <xdr:row>1</xdr:row>
      <xdr:rowOff>58779</xdr:rowOff>
    </xdr:from>
    <xdr:to>
      <xdr:col>3</xdr:col>
      <xdr:colOff>2303859</xdr:colOff>
      <xdr:row>1</xdr:row>
      <xdr:rowOff>314559</xdr:rowOff>
    </xdr:to>
    <xdr:sp macro="[0]!Hoja6.LimpiarDiam_Click" textlink="">
      <xdr:nvSpPr>
        <xdr:cNvPr id="37" name="Rectángulo 36"/>
        <xdr:cNvSpPr/>
      </xdr:nvSpPr>
      <xdr:spPr>
        <a:xfrm>
          <a:off x="4299730" y="487404"/>
          <a:ext cx="516348" cy="25578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Clean</a:t>
          </a:r>
        </a:p>
      </xdr:txBody>
    </xdr:sp>
    <xdr:clientData/>
  </xdr:twoCellAnchor>
  <xdr:twoCellAnchor>
    <xdr:from>
      <xdr:col>3</xdr:col>
      <xdr:colOff>995746</xdr:colOff>
      <xdr:row>15</xdr:row>
      <xdr:rowOff>23059</xdr:rowOff>
    </xdr:from>
    <xdr:to>
      <xdr:col>3</xdr:col>
      <xdr:colOff>1729281</xdr:colOff>
      <xdr:row>16</xdr:row>
      <xdr:rowOff>118105</xdr:rowOff>
    </xdr:to>
    <xdr:sp macro="[0]!Hoja6.CalcResInt_Click" textlink="">
      <xdr:nvSpPr>
        <xdr:cNvPr id="38" name="Rectángulo 37"/>
        <xdr:cNvSpPr/>
      </xdr:nvSpPr>
      <xdr:spPr>
        <a:xfrm>
          <a:off x="3507965" y="3285372"/>
          <a:ext cx="733535" cy="25578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Calculate</a:t>
          </a:r>
        </a:p>
      </xdr:txBody>
    </xdr:sp>
    <xdr:clientData/>
  </xdr:twoCellAnchor>
  <xdr:twoCellAnchor>
    <xdr:from>
      <xdr:col>3</xdr:col>
      <xdr:colOff>1787511</xdr:colOff>
      <xdr:row>15</xdr:row>
      <xdr:rowOff>23059</xdr:rowOff>
    </xdr:from>
    <xdr:to>
      <xdr:col>3</xdr:col>
      <xdr:colOff>2303859</xdr:colOff>
      <xdr:row>16</xdr:row>
      <xdr:rowOff>118105</xdr:rowOff>
    </xdr:to>
    <xdr:sp macro="[0]!Hoja6.LimpiaEsfuer_Click" textlink="">
      <xdr:nvSpPr>
        <xdr:cNvPr id="39" name="Rectángulo 38"/>
        <xdr:cNvSpPr/>
      </xdr:nvSpPr>
      <xdr:spPr>
        <a:xfrm>
          <a:off x="4299730" y="3285372"/>
          <a:ext cx="516348" cy="25578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Clean</a:t>
          </a:r>
        </a:p>
      </xdr:txBody>
    </xdr:sp>
    <xdr:clientData/>
  </xdr:twoCellAnchor>
  <xdr:twoCellAnchor>
    <xdr:from>
      <xdr:col>7</xdr:col>
      <xdr:colOff>563458</xdr:colOff>
      <xdr:row>8</xdr:row>
      <xdr:rowOff>37713</xdr:rowOff>
    </xdr:from>
    <xdr:to>
      <xdr:col>7</xdr:col>
      <xdr:colOff>1296993</xdr:colOff>
      <xdr:row>9</xdr:row>
      <xdr:rowOff>132759</xdr:rowOff>
    </xdr:to>
    <xdr:sp macro="[0]!Hoja6.CalcRecorrido_Click" textlink="">
      <xdr:nvSpPr>
        <xdr:cNvPr id="40" name="Rectángulo 39"/>
        <xdr:cNvSpPr/>
      </xdr:nvSpPr>
      <xdr:spPr>
        <a:xfrm>
          <a:off x="7428785" y="2052617"/>
          <a:ext cx="733535" cy="25623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Calculate</a:t>
          </a:r>
        </a:p>
      </xdr:txBody>
    </xdr:sp>
    <xdr:clientData/>
  </xdr:twoCellAnchor>
  <xdr:twoCellAnchor>
    <xdr:from>
      <xdr:col>7</xdr:col>
      <xdr:colOff>1355223</xdr:colOff>
      <xdr:row>8</xdr:row>
      <xdr:rowOff>37713</xdr:rowOff>
    </xdr:from>
    <xdr:to>
      <xdr:col>7</xdr:col>
      <xdr:colOff>1871571</xdr:colOff>
      <xdr:row>9</xdr:row>
      <xdr:rowOff>132759</xdr:rowOff>
    </xdr:to>
    <xdr:sp macro="[0]!Hoja6.Limpia_Recorrido_Click" textlink="">
      <xdr:nvSpPr>
        <xdr:cNvPr id="41" name="Rectángulo 40"/>
        <xdr:cNvSpPr/>
      </xdr:nvSpPr>
      <xdr:spPr>
        <a:xfrm>
          <a:off x="8220550" y="2052617"/>
          <a:ext cx="516348" cy="256238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Clean</a:t>
          </a:r>
        </a:p>
      </xdr:txBody>
    </xdr:sp>
    <xdr:clientData/>
  </xdr:twoCellAnchor>
  <xdr:twoCellAnchor>
    <xdr:from>
      <xdr:col>8</xdr:col>
      <xdr:colOff>31749</xdr:colOff>
      <xdr:row>0</xdr:row>
      <xdr:rowOff>52917</xdr:rowOff>
    </xdr:from>
    <xdr:to>
      <xdr:col>13</xdr:col>
      <xdr:colOff>582084</xdr:colOff>
      <xdr:row>12</xdr:row>
      <xdr:rowOff>95251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2488481</xdr:colOff>
      <xdr:row>10</xdr:row>
      <xdr:rowOff>10582</xdr:rowOff>
    </xdr:from>
    <xdr:to>
      <xdr:col>13</xdr:col>
      <xdr:colOff>21167</xdr:colOff>
      <xdr:row>29</xdr:row>
      <xdr:rowOff>10583</xdr:rowOff>
    </xdr:to>
    <xdr:grpSp>
      <xdr:nvGrpSpPr>
        <xdr:cNvPr id="11" name="Grupo 10"/>
        <xdr:cNvGrpSpPr/>
      </xdr:nvGrpSpPr>
      <xdr:grpSpPr>
        <a:xfrm>
          <a:off x="9780398" y="2328332"/>
          <a:ext cx="3332352" cy="3153834"/>
          <a:chOff x="10019672" y="5737799"/>
          <a:chExt cx="3228788" cy="2865548"/>
        </a:xfrm>
      </xdr:grpSpPr>
      <xdr:sp macro="" textlink="">
        <xdr:nvSpPr>
          <xdr:cNvPr id="3" name="Rectángulo 2"/>
          <xdr:cNvSpPr/>
        </xdr:nvSpPr>
        <xdr:spPr>
          <a:xfrm>
            <a:off x="10118205" y="6278218"/>
            <a:ext cx="3130255" cy="2325129"/>
          </a:xfrm>
          <a:prstGeom prst="rect">
            <a:avLst/>
          </a:prstGeom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42" name="Imagen 41"/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49568" y="6396457"/>
            <a:ext cx="2950519" cy="20994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cxnSp macro="">
        <xdr:nvCxnSpPr>
          <xdr:cNvPr id="30" name="2 Conector recto"/>
          <xdr:cNvCxnSpPr/>
        </xdr:nvCxnSpPr>
        <xdr:spPr bwMode="auto">
          <a:xfrm flipV="1">
            <a:off x="11680266" y="7152737"/>
            <a:ext cx="1068446" cy="4926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17 Conector recto"/>
          <xdr:cNvCxnSpPr/>
        </xdr:nvCxnSpPr>
        <xdr:spPr bwMode="auto">
          <a:xfrm flipH="1" flipV="1">
            <a:off x="11046712" y="6507785"/>
            <a:ext cx="640405" cy="654805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2" name="8 Arco"/>
          <xdr:cNvSpPr>
            <a:spLocks noChangeAspect="1"/>
          </xdr:cNvSpPr>
        </xdr:nvSpPr>
        <xdr:spPr bwMode="auto">
          <a:xfrm>
            <a:off x="10848048" y="6426598"/>
            <a:ext cx="1729402" cy="1450816"/>
          </a:xfrm>
          <a:prstGeom prst="arc">
            <a:avLst>
              <a:gd name="adj1" fmla="val 13738231"/>
              <a:gd name="adj2" fmla="val 0"/>
            </a:avLst>
          </a:prstGeom>
          <a:noFill/>
          <a:ln>
            <a:solidFill>
              <a:schemeClr val="tx1"/>
            </a:solidFill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endParaRPr lang="es-ES"/>
          </a:p>
        </xdr:txBody>
      </xdr:sp>
      <xdr:sp macro="" textlink="">
        <xdr:nvSpPr>
          <xdr:cNvPr id="27" name="10 CuadroTexto"/>
          <xdr:cNvSpPr txBox="1"/>
        </xdr:nvSpPr>
        <xdr:spPr bwMode="auto">
          <a:xfrm>
            <a:off x="12252166" y="6441137"/>
            <a:ext cx="244871" cy="26987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s-ES" sz="1100">
                <a:latin typeface="Symbol" pitchFamily="18" charset="2"/>
              </a:rPr>
              <a:t>a</a:t>
            </a:r>
          </a:p>
        </xdr:txBody>
      </xdr:sp>
      <xdr:sp macro="" textlink="">
        <xdr:nvSpPr>
          <xdr:cNvPr id="28" name="10 CuadroTexto"/>
          <xdr:cNvSpPr txBox="1"/>
        </xdr:nvSpPr>
        <xdr:spPr bwMode="auto">
          <a:xfrm>
            <a:off x="10376082" y="8146685"/>
            <a:ext cx="326009" cy="26701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s-ES" sz="1100">
                <a:latin typeface="Symbol" pitchFamily="18" charset="2"/>
              </a:rPr>
              <a:t>g</a:t>
            </a:r>
          </a:p>
        </xdr:txBody>
      </xdr:sp>
      <xdr:sp macro="" textlink="">
        <xdr:nvSpPr>
          <xdr:cNvPr id="21" name="8 Arco"/>
          <xdr:cNvSpPr>
            <a:spLocks/>
          </xdr:cNvSpPr>
        </xdr:nvSpPr>
        <xdr:spPr bwMode="auto">
          <a:xfrm>
            <a:off x="10019672" y="5737799"/>
            <a:ext cx="3221045" cy="2819564"/>
          </a:xfrm>
          <a:prstGeom prst="arc">
            <a:avLst>
              <a:gd name="adj1" fmla="val 3753925"/>
              <a:gd name="adj2" fmla="val 9316797"/>
            </a:avLst>
          </a:prstGeom>
          <a:noFill/>
          <a:ln>
            <a:solidFill>
              <a:schemeClr val="tx1"/>
            </a:solidFill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endParaRPr lang="es-ES"/>
          </a:p>
        </xdr:txBody>
      </xdr:sp>
      <xdr:cxnSp macro="">
        <xdr:nvCxnSpPr>
          <xdr:cNvPr id="19" name="Straight Connector 31"/>
          <xdr:cNvCxnSpPr/>
        </xdr:nvCxnSpPr>
        <xdr:spPr>
          <a:xfrm>
            <a:off x="11684748" y="7173222"/>
            <a:ext cx="640059" cy="1317024"/>
          </a:xfrm>
          <a:prstGeom prst="line">
            <a:avLst/>
          </a:prstGeom>
          <a:ln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Straight Connector 35"/>
          <xdr:cNvCxnSpPr>
            <a:endCxn id="21" idx="2"/>
          </xdr:cNvCxnSpPr>
        </xdr:nvCxnSpPr>
        <xdr:spPr>
          <a:xfrm flipH="1">
            <a:off x="10204472" y="7158142"/>
            <a:ext cx="1480277" cy="641930"/>
          </a:xfrm>
          <a:prstGeom prst="line">
            <a:avLst/>
          </a:prstGeom>
          <a:ln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476250</xdr:colOff>
      <xdr:row>20</xdr:row>
      <xdr:rowOff>14287</xdr:rowOff>
    </xdr:from>
    <xdr:to>
      <xdr:col>16</xdr:col>
      <xdr:colOff>476250</xdr:colOff>
      <xdr:row>34</xdr:row>
      <xdr:rowOff>90487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342900</xdr:colOff>
      <xdr:row>18</xdr:row>
      <xdr:rowOff>109537</xdr:rowOff>
    </xdr:from>
    <xdr:to>
      <xdr:col>29</xdr:col>
      <xdr:colOff>342900</xdr:colOff>
      <xdr:row>32</xdr:row>
      <xdr:rowOff>176212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</xdr:colOff>
      <xdr:row>25</xdr:row>
      <xdr:rowOff>14287</xdr:rowOff>
    </xdr:from>
    <xdr:to>
      <xdr:col>18</xdr:col>
      <xdr:colOff>752475</xdr:colOff>
      <xdr:row>39</xdr:row>
      <xdr:rowOff>90487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6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8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5.emf"/><Relationship Id="rId12" Type="http://schemas.openxmlformats.org/officeDocument/2006/relationships/control" Target="../activeX/activeX15.xml"/><Relationship Id="rId17" Type="http://schemas.openxmlformats.org/officeDocument/2006/relationships/image" Target="../media/image30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14.xml"/><Relationship Id="rId19" Type="http://schemas.openxmlformats.org/officeDocument/2006/relationships/image" Target="../media/image31.emf"/><Relationship Id="rId4" Type="http://schemas.openxmlformats.org/officeDocument/2006/relationships/control" Target="../activeX/activeX11.xml"/><Relationship Id="rId9" Type="http://schemas.openxmlformats.org/officeDocument/2006/relationships/image" Target="../media/image26.emf"/><Relationship Id="rId14" Type="http://schemas.openxmlformats.org/officeDocument/2006/relationships/control" Target="../activeX/activeX1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2.emf"/><Relationship Id="rId12" Type="http://schemas.openxmlformats.org/officeDocument/2006/relationships/comments" Target="../comments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0" Type="http://schemas.openxmlformats.org/officeDocument/2006/relationships/control" Target="../activeX/activeX22.xml"/><Relationship Id="rId4" Type="http://schemas.openxmlformats.org/officeDocument/2006/relationships/control" Target="../activeX/activeX19.xml"/><Relationship Id="rId9" Type="http://schemas.openxmlformats.org/officeDocument/2006/relationships/image" Target="../media/image43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5"/>
  <sheetViews>
    <sheetView tabSelected="1" zoomScale="130" zoomScaleNormal="130" workbookViewId="0">
      <selection activeCell="I29" sqref="I29"/>
    </sheetView>
  </sheetViews>
  <sheetFormatPr defaultColWidth="9.140625" defaultRowHeight="12.75" x14ac:dyDescent="0.2"/>
  <sheetData>
    <row r="1" spans="2:16" x14ac:dyDescent="0.2">
      <c r="B1" s="173" t="s">
        <v>141</v>
      </c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</row>
    <row r="2" spans="2:16" x14ac:dyDescent="0.2"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/>
      <c r="P2" s="173"/>
    </row>
    <row r="3" spans="2:16" x14ac:dyDescent="0.2"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  <c r="N3" s="173"/>
      <c r="O3" s="173"/>
      <c r="P3" s="173"/>
    </row>
    <row r="4" spans="2:16" x14ac:dyDescent="0.2"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3"/>
      <c r="M4" s="173"/>
      <c r="N4" s="173"/>
      <c r="O4" s="173"/>
      <c r="P4" s="173"/>
    </row>
    <row r="5" spans="2:16" x14ac:dyDescent="0.2"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3"/>
    </row>
  </sheetData>
  <mergeCells count="1">
    <mergeCell ref="B1:P5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S54"/>
  <sheetViews>
    <sheetView zoomScale="115" zoomScaleNormal="115" workbookViewId="0">
      <selection activeCell="C14" sqref="C14"/>
    </sheetView>
  </sheetViews>
  <sheetFormatPr defaultColWidth="11.42578125" defaultRowHeight="12.75" x14ac:dyDescent="0.2"/>
  <cols>
    <col min="1" max="1" width="8.28515625" customWidth="1"/>
    <col min="2" max="2" width="12.85546875" bestFit="1" customWidth="1"/>
    <col min="3" max="3" width="14.5703125" bestFit="1" customWidth="1"/>
    <col min="4" max="4" width="31.28515625" bestFit="1" customWidth="1"/>
    <col min="5" max="5" width="7" customWidth="1"/>
    <col min="6" max="6" width="8.140625" bestFit="1" customWidth="1"/>
    <col min="7" max="7" width="11.85546875" customWidth="1"/>
    <col min="8" max="8" width="21.140625" customWidth="1"/>
    <col min="11" max="14" width="13.7109375" customWidth="1"/>
    <col min="15" max="15" width="15" customWidth="1"/>
  </cols>
  <sheetData>
    <row r="1" spans="1:19" ht="21" customHeight="1" thickBot="1" x14ac:dyDescent="0.25">
      <c r="A1" s="104"/>
      <c r="B1" s="174" t="s">
        <v>184</v>
      </c>
      <c r="C1" s="175"/>
      <c r="D1" s="175"/>
      <c r="E1" s="175"/>
      <c r="F1" s="175"/>
      <c r="G1" s="175"/>
      <c r="H1" s="175"/>
      <c r="I1" s="127"/>
      <c r="J1" s="126"/>
      <c r="K1" s="127"/>
      <c r="L1" s="126"/>
      <c r="M1" s="126"/>
      <c r="N1" s="128"/>
      <c r="O1" s="14"/>
      <c r="P1" s="14"/>
      <c r="Q1" s="14"/>
      <c r="R1" s="14"/>
      <c r="S1" s="14"/>
    </row>
    <row r="2" spans="1:19" ht="24.75" customHeight="1" thickBot="1" x14ac:dyDescent="0.3">
      <c r="A2" s="105"/>
      <c r="B2" s="195" t="s">
        <v>185</v>
      </c>
      <c r="C2" s="195"/>
      <c r="D2" s="195"/>
      <c r="E2" s="200" t="s">
        <v>93</v>
      </c>
      <c r="F2" s="201"/>
      <c r="G2" s="201"/>
      <c r="H2" s="201"/>
      <c r="I2" s="106"/>
      <c r="J2" s="107"/>
      <c r="K2" s="106"/>
      <c r="L2" s="107"/>
      <c r="M2" s="107"/>
      <c r="N2" s="113"/>
    </row>
    <row r="3" spans="1:19" x14ac:dyDescent="0.2">
      <c r="A3" s="15" t="s">
        <v>0</v>
      </c>
      <c r="B3" s="16" t="s">
        <v>15</v>
      </c>
      <c r="C3" s="17">
        <v>20</v>
      </c>
      <c r="D3" s="107" t="s">
        <v>187</v>
      </c>
      <c r="E3" s="106" t="s">
        <v>71</v>
      </c>
      <c r="F3" s="107"/>
      <c r="G3" s="107" t="s">
        <v>66</v>
      </c>
      <c r="H3" s="107"/>
      <c r="I3" s="106"/>
      <c r="J3" s="107"/>
      <c r="K3" s="106"/>
      <c r="L3" s="107"/>
      <c r="M3" s="107"/>
      <c r="N3" s="113"/>
    </row>
    <row r="4" spans="1:19" x14ac:dyDescent="0.2">
      <c r="A4" s="15" t="s">
        <v>1</v>
      </c>
      <c r="B4" s="16" t="s">
        <v>15</v>
      </c>
      <c r="C4" s="171">
        <v>16</v>
      </c>
      <c r="D4" s="107" t="s">
        <v>188</v>
      </c>
      <c r="E4" s="106" t="s">
        <v>32</v>
      </c>
      <c r="F4" s="107" t="s">
        <v>41</v>
      </c>
      <c r="G4" s="107">
        <v>206000</v>
      </c>
      <c r="H4" s="50" t="s">
        <v>97</v>
      </c>
      <c r="I4" s="106"/>
      <c r="J4" s="107"/>
      <c r="K4" s="106"/>
      <c r="L4" s="107"/>
      <c r="M4" s="107"/>
      <c r="N4" s="113"/>
    </row>
    <row r="5" spans="1:19" x14ac:dyDescent="0.2">
      <c r="A5" s="15" t="s">
        <v>2</v>
      </c>
      <c r="B5" s="16" t="s">
        <v>15</v>
      </c>
      <c r="C5" s="172">
        <v>18</v>
      </c>
      <c r="D5" s="107" t="s">
        <v>194</v>
      </c>
      <c r="E5" s="106" t="s">
        <v>30</v>
      </c>
      <c r="F5" s="107" t="s">
        <v>41</v>
      </c>
      <c r="G5" s="107">
        <v>81500</v>
      </c>
      <c r="H5" s="50" t="s">
        <v>98</v>
      </c>
      <c r="I5" s="106"/>
      <c r="J5" s="107"/>
      <c r="K5" s="106"/>
      <c r="L5" s="107"/>
      <c r="M5" s="107"/>
      <c r="N5" s="113"/>
    </row>
    <row r="6" spans="1:19" x14ac:dyDescent="0.2">
      <c r="A6" s="15" t="s">
        <v>11</v>
      </c>
      <c r="B6" s="16" t="s">
        <v>15</v>
      </c>
      <c r="C6" s="17">
        <v>2</v>
      </c>
      <c r="D6" s="107" t="s">
        <v>186</v>
      </c>
      <c r="E6" s="106" t="s">
        <v>31</v>
      </c>
      <c r="F6" s="107" t="s">
        <v>41</v>
      </c>
      <c r="G6" s="107">
        <v>990</v>
      </c>
      <c r="H6" s="50" t="s">
        <v>99</v>
      </c>
      <c r="I6" s="106"/>
      <c r="J6" s="107"/>
      <c r="K6" s="106"/>
      <c r="L6" s="107"/>
      <c r="M6" s="107"/>
      <c r="N6" s="113"/>
    </row>
    <row r="7" spans="1:19" x14ac:dyDescent="0.2">
      <c r="A7" s="15" t="s">
        <v>131</v>
      </c>
      <c r="B7" s="16"/>
      <c r="C7" s="189" t="s">
        <v>262</v>
      </c>
      <c r="D7" s="190"/>
      <c r="E7" s="106" t="s">
        <v>70</v>
      </c>
      <c r="F7" s="107" t="s">
        <v>41</v>
      </c>
      <c r="G7" s="107">
        <v>1980</v>
      </c>
      <c r="H7" s="50" t="s">
        <v>202</v>
      </c>
      <c r="I7" s="106"/>
      <c r="J7" s="107"/>
      <c r="K7" s="106"/>
      <c r="L7" s="107"/>
      <c r="M7" s="107"/>
      <c r="N7" s="113"/>
    </row>
    <row r="8" spans="1:19" x14ac:dyDescent="0.2">
      <c r="A8" s="15" t="s">
        <v>19</v>
      </c>
      <c r="B8" s="16"/>
      <c r="C8" s="19">
        <v>9</v>
      </c>
      <c r="D8" s="107" t="s">
        <v>211</v>
      </c>
      <c r="E8" s="106"/>
      <c r="F8" s="107"/>
      <c r="G8" s="107"/>
      <c r="H8" s="27"/>
      <c r="I8" s="106"/>
      <c r="J8" s="107"/>
      <c r="K8" s="106"/>
      <c r="L8" s="107"/>
      <c r="M8" s="107"/>
      <c r="N8" s="113"/>
    </row>
    <row r="9" spans="1:19" x14ac:dyDescent="0.2">
      <c r="A9" s="15" t="s">
        <v>18</v>
      </c>
      <c r="B9" s="16"/>
      <c r="C9" s="170">
        <v>1.1620833333333334</v>
      </c>
      <c r="D9" s="107" t="s">
        <v>212</v>
      </c>
      <c r="E9" s="106"/>
      <c r="F9" s="107" t="b">
        <v>0</v>
      </c>
      <c r="G9" s="107"/>
      <c r="H9" s="107"/>
      <c r="I9" s="106"/>
      <c r="J9" s="107"/>
      <c r="K9" s="106"/>
      <c r="L9" s="107"/>
      <c r="M9" s="107"/>
      <c r="N9" s="113"/>
    </row>
    <row r="10" spans="1:19" ht="13.5" thickBot="1" x14ac:dyDescent="0.25">
      <c r="A10" s="193" t="s">
        <v>200</v>
      </c>
      <c r="B10" s="194"/>
      <c r="C10" s="191" t="s">
        <v>263</v>
      </c>
      <c r="D10" s="192"/>
      <c r="E10" s="111"/>
      <c r="F10" s="110"/>
      <c r="G10" s="110"/>
      <c r="H10" s="110"/>
      <c r="I10" s="106"/>
      <c r="J10" s="107"/>
      <c r="K10" s="111"/>
      <c r="L10" s="110"/>
      <c r="M10" s="110"/>
      <c r="N10" s="114"/>
    </row>
    <row r="11" spans="1:19" ht="28.5" customHeight="1" x14ac:dyDescent="0.25">
      <c r="A11" s="184" t="s">
        <v>223</v>
      </c>
      <c r="B11" s="185"/>
      <c r="C11" s="185"/>
      <c r="D11" s="185"/>
      <c r="E11" s="186" t="s">
        <v>96</v>
      </c>
      <c r="F11" s="187"/>
      <c r="G11" s="187"/>
      <c r="H11" s="187"/>
      <c r="I11" s="122"/>
      <c r="J11" s="113"/>
      <c r="K11" s="178" t="s">
        <v>204</v>
      </c>
      <c r="L11" s="178"/>
      <c r="M11" s="178"/>
      <c r="N11" s="179"/>
    </row>
    <row r="12" spans="1:19" x14ac:dyDescent="0.2">
      <c r="A12" s="15" t="s">
        <v>7</v>
      </c>
      <c r="B12" s="16" t="s">
        <v>15</v>
      </c>
      <c r="C12" s="169">
        <v>4.5384615384615383</v>
      </c>
      <c r="D12" s="16" t="s">
        <v>189</v>
      </c>
      <c r="E12" s="15"/>
      <c r="F12" s="16"/>
      <c r="G12" s="16"/>
      <c r="H12" s="16"/>
      <c r="I12" s="106"/>
      <c r="J12" s="133"/>
      <c r="K12" s="176" t="s">
        <v>210</v>
      </c>
      <c r="L12" s="177"/>
      <c r="M12" s="30">
        <v>100000</v>
      </c>
      <c r="N12" s="18"/>
    </row>
    <row r="13" spans="1:19" x14ac:dyDescent="0.2">
      <c r="A13" s="15" t="s">
        <v>3</v>
      </c>
      <c r="B13" s="16" t="s">
        <v>15</v>
      </c>
      <c r="C13" s="25">
        <v>62</v>
      </c>
      <c r="D13" s="16" t="s">
        <v>190</v>
      </c>
      <c r="E13" s="24" t="s">
        <v>94</v>
      </c>
      <c r="F13" s="16"/>
      <c r="G13" s="16"/>
      <c r="H13" s="16"/>
      <c r="I13" s="106"/>
      <c r="J13" s="134"/>
      <c r="K13" s="28"/>
      <c r="L13" s="28"/>
      <c r="M13" s="30" t="s">
        <v>128</v>
      </c>
      <c r="N13" s="18"/>
    </row>
    <row r="14" spans="1:19" x14ac:dyDescent="0.2">
      <c r="A14" s="15" t="s">
        <v>13</v>
      </c>
      <c r="B14" s="16"/>
      <c r="C14" s="25">
        <v>15</v>
      </c>
      <c r="D14" s="16" t="s">
        <v>191</v>
      </c>
      <c r="E14" s="15" t="s">
        <v>4</v>
      </c>
      <c r="F14" s="16" t="s">
        <v>15</v>
      </c>
      <c r="G14" s="25">
        <v>61.98</v>
      </c>
      <c r="H14" s="49" t="s">
        <v>203</v>
      </c>
      <c r="I14" s="106"/>
      <c r="J14" s="113"/>
      <c r="K14" s="16"/>
      <c r="L14" s="16"/>
      <c r="M14" s="16"/>
      <c r="N14" s="18"/>
    </row>
    <row r="15" spans="1:19" x14ac:dyDescent="0.2">
      <c r="A15" s="15" t="s">
        <v>21</v>
      </c>
      <c r="B15" s="16"/>
      <c r="C15" s="169">
        <v>13.5</v>
      </c>
      <c r="D15" s="16" t="s">
        <v>192</v>
      </c>
      <c r="E15" s="15" t="s">
        <v>12</v>
      </c>
      <c r="F15" s="16" t="s">
        <v>44</v>
      </c>
      <c r="G15" s="169">
        <v>4.1406289691618525E-2</v>
      </c>
      <c r="H15" s="16" t="s">
        <v>205</v>
      </c>
      <c r="I15" s="106"/>
      <c r="J15" s="113"/>
      <c r="K15" s="16"/>
      <c r="L15" s="16"/>
      <c r="M15" s="16"/>
      <c r="N15" s="18"/>
    </row>
    <row r="16" spans="1:19" x14ac:dyDescent="0.2">
      <c r="A16" s="180" t="s">
        <v>195</v>
      </c>
      <c r="B16" s="181"/>
      <c r="C16" s="170" t="s">
        <v>215</v>
      </c>
      <c r="D16" s="16"/>
      <c r="E16" s="15" t="s">
        <v>6</v>
      </c>
      <c r="F16" s="16" t="s">
        <v>15</v>
      </c>
      <c r="G16" s="169">
        <v>2.0000000000003126E-2</v>
      </c>
      <c r="H16" s="103" t="s">
        <v>206</v>
      </c>
      <c r="I16" s="106"/>
      <c r="J16" s="113"/>
      <c r="K16" s="16"/>
      <c r="L16" s="16"/>
      <c r="M16" s="16"/>
      <c r="N16" s="18"/>
    </row>
    <row r="17" spans="1:14" ht="13.5" thickBot="1" x14ac:dyDescent="0.25">
      <c r="A17" s="22" t="s">
        <v>92</v>
      </c>
      <c r="B17" s="23" t="s">
        <v>15</v>
      </c>
      <c r="C17" s="23">
        <f>C15*SQRT(C12^2+PI()^2*C5^2)</f>
        <v>765.86172963465071</v>
      </c>
      <c r="D17" s="23"/>
      <c r="E17" s="26" t="s">
        <v>22</v>
      </c>
      <c r="F17" s="16" t="s">
        <v>41</v>
      </c>
      <c r="G17" s="170">
        <v>0.27607449559903724</v>
      </c>
      <c r="H17" s="50" t="s">
        <v>213</v>
      </c>
      <c r="I17" s="106"/>
      <c r="J17" s="113"/>
      <c r="K17" s="16"/>
      <c r="L17" s="16"/>
      <c r="M17" s="16"/>
      <c r="N17" s="18"/>
    </row>
    <row r="18" spans="1:14" ht="12" customHeight="1" x14ac:dyDescent="0.2">
      <c r="A18" s="182" t="s">
        <v>101</v>
      </c>
      <c r="B18" s="183"/>
      <c r="C18" s="183"/>
      <c r="D18" s="183"/>
      <c r="E18" s="123" t="s">
        <v>131</v>
      </c>
      <c r="F18" s="188" t="s">
        <v>264</v>
      </c>
      <c r="G18" s="177"/>
      <c r="H18" s="177"/>
      <c r="I18" s="135"/>
      <c r="J18" s="113"/>
      <c r="K18" s="16"/>
      <c r="L18" s="16"/>
      <c r="M18" s="16"/>
      <c r="N18" s="18"/>
    </row>
    <row r="19" spans="1:14" x14ac:dyDescent="0.2">
      <c r="A19" s="15" t="s">
        <v>9</v>
      </c>
      <c r="B19" s="16" t="s">
        <v>42</v>
      </c>
      <c r="C19" s="170">
        <v>2.0703144845806025</v>
      </c>
      <c r="D19" s="16" t="s">
        <v>193</v>
      </c>
      <c r="E19" s="15"/>
      <c r="F19" s="16"/>
      <c r="G19" s="16"/>
      <c r="H19" s="16"/>
      <c r="I19" s="106"/>
      <c r="J19" s="113"/>
      <c r="K19" s="16"/>
      <c r="L19" s="16"/>
      <c r="M19" s="16"/>
      <c r="N19" s="18"/>
    </row>
    <row r="20" spans="1:14" x14ac:dyDescent="0.2">
      <c r="A20" s="26" t="s">
        <v>10</v>
      </c>
      <c r="B20" s="16" t="s">
        <v>43</v>
      </c>
      <c r="C20" s="170">
        <v>0.48301840490797548</v>
      </c>
      <c r="D20" s="50" t="s">
        <v>226</v>
      </c>
      <c r="E20" s="24" t="s">
        <v>95</v>
      </c>
      <c r="F20" s="16"/>
      <c r="G20" s="16"/>
      <c r="H20" s="16"/>
      <c r="I20" s="106"/>
      <c r="J20" s="113"/>
      <c r="K20" s="16"/>
      <c r="L20" s="16"/>
      <c r="M20" s="16"/>
      <c r="N20" s="18"/>
    </row>
    <row r="21" spans="1:14" x14ac:dyDescent="0.2">
      <c r="A21" s="15" t="s">
        <v>5</v>
      </c>
      <c r="B21" s="16" t="s">
        <v>15</v>
      </c>
      <c r="C21" s="170">
        <v>30</v>
      </c>
      <c r="D21" s="16" t="s">
        <v>196</v>
      </c>
      <c r="E21" s="15" t="s">
        <v>37</v>
      </c>
      <c r="F21" s="16" t="s">
        <v>15</v>
      </c>
      <c r="G21" s="25">
        <v>35</v>
      </c>
      <c r="H21" s="101" t="s">
        <v>207</v>
      </c>
      <c r="I21" s="106"/>
      <c r="J21" s="113"/>
      <c r="K21" s="16"/>
      <c r="L21" s="16"/>
      <c r="M21" s="16"/>
      <c r="N21" s="18"/>
    </row>
    <row r="22" spans="1:14" x14ac:dyDescent="0.2">
      <c r="A22" s="15" t="s">
        <v>26</v>
      </c>
      <c r="B22" s="16" t="s">
        <v>44</v>
      </c>
      <c r="C22" s="170">
        <v>66.250063506579281</v>
      </c>
      <c r="D22" s="16" t="s">
        <v>197</v>
      </c>
      <c r="E22" s="15" t="s">
        <v>39</v>
      </c>
      <c r="F22" s="16" t="s">
        <v>44</v>
      </c>
      <c r="G22" s="169">
        <v>55.898491083676269</v>
      </c>
      <c r="H22" s="101" t="s">
        <v>208</v>
      </c>
      <c r="I22" s="106"/>
      <c r="J22" s="113"/>
      <c r="K22" s="16"/>
      <c r="L22" s="16"/>
      <c r="M22" s="16"/>
      <c r="N22" s="18"/>
    </row>
    <row r="23" spans="1:14" x14ac:dyDescent="0.2">
      <c r="A23" s="15" t="s">
        <v>24</v>
      </c>
      <c r="B23" s="16" t="s">
        <v>15</v>
      </c>
      <c r="C23" s="170">
        <v>32</v>
      </c>
      <c r="D23" s="16" t="s">
        <v>198</v>
      </c>
      <c r="E23" s="15" t="s">
        <v>6</v>
      </c>
      <c r="F23" s="16" t="s">
        <v>15</v>
      </c>
      <c r="G23" s="169">
        <v>27</v>
      </c>
      <c r="H23" s="103" t="s">
        <v>209</v>
      </c>
      <c r="I23" s="106"/>
      <c r="J23" s="113"/>
      <c r="K23" s="16"/>
      <c r="L23" s="16"/>
      <c r="M23" s="16"/>
      <c r="N23" s="18"/>
    </row>
    <row r="24" spans="1:14" x14ac:dyDescent="0.2">
      <c r="A24" s="15" t="s">
        <v>28</v>
      </c>
      <c r="B24" s="16" t="s">
        <v>15</v>
      </c>
      <c r="C24" s="170">
        <v>18.128690197695576</v>
      </c>
      <c r="D24" s="16" t="s">
        <v>199</v>
      </c>
      <c r="E24" s="26" t="s">
        <v>40</v>
      </c>
      <c r="F24" s="16" t="s">
        <v>41</v>
      </c>
      <c r="G24" s="170">
        <v>372.70056905864192</v>
      </c>
      <c r="H24" s="50" t="s">
        <v>214</v>
      </c>
      <c r="I24" s="106"/>
      <c r="J24" s="113"/>
      <c r="K24" s="16"/>
      <c r="L24" s="16"/>
      <c r="M24" s="16"/>
      <c r="N24" s="18"/>
    </row>
    <row r="25" spans="1:14" x14ac:dyDescent="0.2">
      <c r="A25" s="26" t="s">
        <v>22</v>
      </c>
      <c r="B25" s="16" t="s">
        <v>41</v>
      </c>
      <c r="C25" s="170">
        <v>441.71919295839047</v>
      </c>
      <c r="D25" s="16" t="s">
        <v>201</v>
      </c>
      <c r="E25" s="123" t="s">
        <v>131</v>
      </c>
      <c r="F25" s="188" t="s">
        <v>264</v>
      </c>
      <c r="G25" s="177"/>
      <c r="H25" s="177"/>
      <c r="I25" s="135"/>
      <c r="J25" s="113"/>
      <c r="K25" s="16"/>
      <c r="L25" s="16"/>
      <c r="M25" s="16"/>
      <c r="N25" s="18"/>
    </row>
    <row r="26" spans="1:14" ht="13.5" thickBot="1" x14ac:dyDescent="0.25">
      <c r="A26" s="199" t="s">
        <v>100</v>
      </c>
      <c r="B26" s="194"/>
      <c r="C26" s="196" t="s">
        <v>264</v>
      </c>
      <c r="D26" s="197"/>
      <c r="E26" s="22"/>
      <c r="F26" s="23"/>
      <c r="G26" s="23"/>
      <c r="H26" s="23"/>
      <c r="I26" s="111"/>
      <c r="J26" s="114"/>
      <c r="K26" s="23"/>
      <c r="L26" s="23"/>
      <c r="M26" s="23"/>
      <c r="N26" s="21"/>
    </row>
    <row r="27" spans="1:14" ht="18" x14ac:dyDescent="0.25">
      <c r="E27" s="11"/>
    </row>
    <row r="28" spans="1:14" ht="16.5" customHeight="1" x14ac:dyDescent="0.2"/>
    <row r="32" spans="1:14" ht="18" x14ac:dyDescent="0.25">
      <c r="A32" s="198" t="s">
        <v>119</v>
      </c>
      <c r="B32" s="198"/>
      <c r="C32" s="198"/>
      <c r="D32" s="198"/>
    </row>
    <row r="33" spans="1:8" x14ac:dyDescent="0.2">
      <c r="A33" s="54" t="s">
        <v>73</v>
      </c>
      <c r="B33" s="54"/>
      <c r="C33" s="54">
        <f>VLOOKUP('Compression Spring 1K'!G3,Hoja2!A2:F22,2)</f>
        <v>0.47601521250122947</v>
      </c>
      <c r="D33" s="54"/>
    </row>
    <row r="34" spans="1:8" x14ac:dyDescent="0.2">
      <c r="A34" s="54" t="s">
        <v>125</v>
      </c>
      <c r="B34" s="54"/>
      <c r="C34" s="55">
        <f>(VLOOKUP('Compression Spring 1K'!G3,Hoja2!A2:F22,3)*M12+VLOOKUP('Compression Spring 1K'!G3,Hoja2!A2:F22,4))*C36</f>
        <v>0.26838691615331045</v>
      </c>
      <c r="D34" s="54"/>
    </row>
    <row r="35" spans="1:8" x14ac:dyDescent="0.2">
      <c r="A35" s="54" t="s">
        <v>123</v>
      </c>
      <c r="B35" s="54"/>
      <c r="C35" s="54">
        <f>VLOOKUP('Compression Spring 1K'!G3,Hoja2!A2:F22,5)</f>
        <v>0.71964387134949526</v>
      </c>
      <c r="D35" s="54"/>
    </row>
    <row r="36" spans="1:8" x14ac:dyDescent="0.2">
      <c r="A36" s="54" t="s">
        <v>126</v>
      </c>
      <c r="B36" s="54"/>
      <c r="C36" s="54">
        <f>IF(F9,1,VLOOKUP('Compression Spring 1K'!G3,Hoja2!A2:F22,6))</f>
        <v>0.82585705604597537</v>
      </c>
      <c r="D36" s="54"/>
    </row>
    <row r="37" spans="1:8" x14ac:dyDescent="0.2">
      <c r="A37" s="54"/>
      <c r="B37" s="54"/>
      <c r="C37" s="54"/>
      <c r="D37" s="54"/>
    </row>
    <row r="38" spans="1:8" x14ac:dyDescent="0.2">
      <c r="A38" s="54"/>
      <c r="B38" s="54">
        <v>0</v>
      </c>
      <c r="C38" s="54">
        <v>0</v>
      </c>
      <c r="D38" s="54"/>
      <c r="H38" s="7"/>
    </row>
    <row r="39" spans="1:8" x14ac:dyDescent="0.2">
      <c r="A39" s="54"/>
      <c r="B39" s="54">
        <v>1200</v>
      </c>
      <c r="C39" s="54">
        <v>1200</v>
      </c>
      <c r="D39" s="54"/>
      <c r="H39" s="7"/>
    </row>
    <row r="40" spans="1:8" x14ac:dyDescent="0.2">
      <c r="A40" s="54"/>
      <c r="B40" s="54"/>
      <c r="C40" s="54"/>
      <c r="D40" s="54"/>
    </row>
    <row r="41" spans="1:8" x14ac:dyDescent="0.2">
      <c r="A41" s="54"/>
      <c r="B41" s="54"/>
      <c r="C41" s="54"/>
      <c r="D41" s="54"/>
    </row>
    <row r="42" spans="1:8" x14ac:dyDescent="0.2">
      <c r="A42" s="54"/>
      <c r="B42" s="54"/>
      <c r="C42" s="54"/>
      <c r="D42" s="54"/>
    </row>
    <row r="43" spans="1:8" x14ac:dyDescent="0.2">
      <c r="A43" s="54"/>
      <c r="B43" s="54">
        <f>G17</f>
        <v>0.27607449559903724</v>
      </c>
      <c r="C43" s="54">
        <f>B43</f>
        <v>0.27607449559903724</v>
      </c>
      <c r="D43" s="54"/>
      <c r="H43" s="7"/>
    </row>
    <row r="44" spans="1:8" x14ac:dyDescent="0.2">
      <c r="A44" s="54"/>
      <c r="B44" s="54">
        <f>$G17</f>
        <v>0.27607449559903724</v>
      </c>
      <c r="C44" s="54">
        <f>$G24</f>
        <v>372.70056905864192</v>
      </c>
      <c r="D44" s="54"/>
      <c r="H44" s="7"/>
    </row>
    <row r="45" spans="1:8" x14ac:dyDescent="0.2">
      <c r="A45" s="54"/>
      <c r="B45" s="54"/>
      <c r="C45" s="54"/>
      <c r="D45" s="54"/>
    </row>
    <row r="46" spans="1:8" x14ac:dyDescent="0.2">
      <c r="A46" s="54"/>
      <c r="B46" s="124">
        <v>0</v>
      </c>
      <c r="C46" s="55">
        <f>C34*G7</f>
        <v>531.40609398355468</v>
      </c>
      <c r="D46" s="125"/>
    </row>
    <row r="47" spans="1:8" x14ac:dyDescent="0.2">
      <c r="A47" s="54"/>
      <c r="B47" s="124">
        <f>(C48-C46)/C35</f>
        <v>571.2603735483309</v>
      </c>
      <c r="C47" s="124">
        <f>C48</f>
        <v>942.51012075243432</v>
      </c>
      <c r="D47" s="54"/>
    </row>
    <row r="48" spans="1:8" x14ac:dyDescent="0.2">
      <c r="A48" s="54"/>
      <c r="B48" s="124">
        <f>C48</f>
        <v>942.51012075243432</v>
      </c>
      <c r="C48" s="124">
        <f>C33*G7</f>
        <v>942.51012075243432</v>
      </c>
      <c r="D48" s="54"/>
    </row>
    <row r="49" spans="1:4" x14ac:dyDescent="0.2">
      <c r="A49" s="54"/>
      <c r="B49" s="54"/>
      <c r="C49" s="54"/>
      <c r="D49" s="54"/>
    </row>
    <row r="50" spans="1:4" x14ac:dyDescent="0.2">
      <c r="A50" s="54"/>
      <c r="B50" s="54"/>
      <c r="C50" s="54"/>
      <c r="D50" s="54"/>
    </row>
    <row r="51" spans="1:4" x14ac:dyDescent="0.2">
      <c r="A51" s="54"/>
      <c r="B51" s="54"/>
      <c r="C51" s="54"/>
      <c r="D51" s="54"/>
    </row>
    <row r="52" spans="1:4" x14ac:dyDescent="0.2">
      <c r="A52" s="202" t="s">
        <v>216</v>
      </c>
      <c r="B52" s="202"/>
      <c r="C52" s="202"/>
      <c r="D52" s="202"/>
    </row>
    <row r="53" spans="1:4" x14ac:dyDescent="0.2">
      <c r="A53" s="54"/>
      <c r="B53" s="54">
        <f>G16</f>
        <v>2.0000000000003126E-2</v>
      </c>
      <c r="C53" s="54">
        <f>G15</f>
        <v>4.1406289691618525E-2</v>
      </c>
      <c r="D53" s="54"/>
    </row>
    <row r="54" spans="1:4" x14ac:dyDescent="0.2">
      <c r="A54" s="54"/>
      <c r="B54" s="54">
        <f>G23</f>
        <v>27</v>
      </c>
      <c r="C54" s="54">
        <f>G22</f>
        <v>55.898491083676269</v>
      </c>
      <c r="D54" s="54"/>
    </row>
  </sheetData>
  <mergeCells count="18">
    <mergeCell ref="C26:D26"/>
    <mergeCell ref="A32:D32"/>
    <mergeCell ref="A26:B26"/>
    <mergeCell ref="E2:H2"/>
    <mergeCell ref="A52:D52"/>
    <mergeCell ref="F25:H25"/>
    <mergeCell ref="B1:H1"/>
    <mergeCell ref="K12:L12"/>
    <mergeCell ref="K11:N11"/>
    <mergeCell ref="A16:B16"/>
    <mergeCell ref="A18:D18"/>
    <mergeCell ref="A11:D11"/>
    <mergeCell ref="E11:H11"/>
    <mergeCell ref="F18:H18"/>
    <mergeCell ref="C7:D7"/>
    <mergeCell ref="C10:D10"/>
    <mergeCell ref="A10:B10"/>
    <mergeCell ref="B2:D2"/>
  </mergeCells>
  <phoneticPr fontId="4" type="noConversion"/>
  <pageMargins left="0.75" right="0.75" top="1" bottom="1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MuelleTipo1">
          <controlPr defaultSize="0" autoLine="0" r:id="rId5">
            <anchor moveWithCells="1" sizeWithCells="1">
              <from>
                <xdr:col>8</xdr:col>
                <xdr:colOff>66675</xdr:colOff>
                <xdr:row>1</xdr:row>
                <xdr:rowOff>47625</xdr:rowOff>
              </from>
              <to>
                <xdr:col>8</xdr:col>
                <xdr:colOff>723900</xdr:colOff>
                <xdr:row>1</xdr:row>
                <xdr:rowOff>266700</xdr:rowOff>
              </to>
            </anchor>
          </controlPr>
        </control>
      </mc:Choice>
      <mc:Fallback>
        <control shapeId="1027" r:id="rId4" name="MuelleTipo1"/>
      </mc:Fallback>
    </mc:AlternateContent>
    <mc:AlternateContent xmlns:mc="http://schemas.openxmlformats.org/markup-compatibility/2006">
      <mc:Choice Requires="x14">
        <control shapeId="1028" r:id="rId6" name="MuelleTipo2">
          <controlPr defaultSize="0" autoLine="0" r:id="rId7">
            <anchor moveWithCells="1" sizeWithCells="1">
              <from>
                <xdr:col>8</xdr:col>
                <xdr:colOff>66675</xdr:colOff>
                <xdr:row>7</xdr:row>
                <xdr:rowOff>19050</xdr:rowOff>
              </from>
              <to>
                <xdr:col>8</xdr:col>
                <xdr:colOff>723900</xdr:colOff>
                <xdr:row>8</xdr:row>
                <xdr:rowOff>76200</xdr:rowOff>
              </to>
            </anchor>
          </controlPr>
        </control>
      </mc:Choice>
      <mc:Fallback>
        <control shapeId="1028" r:id="rId6" name="MuelleTipo2"/>
      </mc:Fallback>
    </mc:AlternateContent>
    <mc:AlternateContent xmlns:mc="http://schemas.openxmlformats.org/markup-compatibility/2006">
      <mc:Choice Requires="x14">
        <control shapeId="1029" r:id="rId8" name="MuelleTipo3">
          <controlPr defaultSize="0" autoLine="0" r:id="rId9">
            <anchor moveWithCells="1" sizeWithCells="1">
              <from>
                <xdr:col>8</xdr:col>
                <xdr:colOff>66675</xdr:colOff>
                <xdr:row>12</xdr:row>
                <xdr:rowOff>76200</xdr:rowOff>
              </from>
              <to>
                <xdr:col>8</xdr:col>
                <xdr:colOff>723900</xdr:colOff>
                <xdr:row>13</xdr:row>
                <xdr:rowOff>133350</xdr:rowOff>
              </to>
            </anchor>
          </controlPr>
        </control>
      </mc:Choice>
      <mc:Fallback>
        <control shapeId="1029" r:id="rId8" name="MuelleTipo3"/>
      </mc:Fallback>
    </mc:AlternateContent>
    <mc:AlternateContent xmlns:mc="http://schemas.openxmlformats.org/markup-compatibility/2006">
      <mc:Choice Requires="x14">
        <control shapeId="1030" r:id="rId10" name="MuelleTipo4">
          <controlPr defaultSize="0" autoLine="0" r:id="rId11">
            <anchor moveWithCells="1" sizeWithCells="1">
              <from>
                <xdr:col>8</xdr:col>
                <xdr:colOff>66675</xdr:colOff>
                <xdr:row>19</xdr:row>
                <xdr:rowOff>38100</xdr:rowOff>
              </from>
              <to>
                <xdr:col>8</xdr:col>
                <xdr:colOff>723900</xdr:colOff>
                <xdr:row>20</xdr:row>
                <xdr:rowOff>95250</xdr:rowOff>
              </to>
            </anchor>
          </controlPr>
        </control>
      </mc:Choice>
      <mc:Fallback>
        <control shapeId="1030" r:id="rId10" name="MuelleTipo4"/>
      </mc:Fallback>
    </mc:AlternateContent>
    <mc:AlternateContent xmlns:mc="http://schemas.openxmlformats.org/markup-compatibility/2006">
      <mc:Choice Requires="x14">
        <control shapeId="1050" r:id="rId12" name="ShotPeening">
          <controlPr defaultSize="0" autoLine="0" r:id="rId13">
            <anchor>
              <from>
                <xdr:col>4</xdr:col>
                <xdr:colOff>57150</xdr:colOff>
                <xdr:row>7</xdr:row>
                <xdr:rowOff>38100</xdr:rowOff>
              </from>
              <to>
                <xdr:col>6</xdr:col>
                <xdr:colOff>619125</xdr:colOff>
                <xdr:row>9</xdr:row>
                <xdr:rowOff>76200</xdr:rowOff>
              </to>
            </anchor>
          </controlPr>
        </control>
      </mc:Choice>
      <mc:Fallback>
        <control shapeId="1050" r:id="rId12" name="ShotPee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Hoja2!$L$2:$L$90</xm:f>
          </x14:formula1>
          <xm:sqref>C6</xm:sqref>
        </x14:dataValidation>
        <x14:dataValidation type="list" allowBlank="1" showInputMessage="1" showErrorMessage="1">
          <x14:formula1>
            <xm:f>Hoja2!$A$2:$A$22</xm:f>
          </x14:formula1>
          <xm:sqref>G3</xm:sqref>
        </x14:dataValidation>
        <x14:dataValidation type="list" allowBlank="1" showInputMessage="1" showErrorMessage="1">
          <x14:formula1>
            <xm:f>Hoja2!$I$2:$I$4</xm:f>
          </x14:formula1>
          <xm:sqref>M12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>
    <pageSetUpPr fitToPage="1"/>
  </sheetPr>
  <dimension ref="A1:P422"/>
  <sheetViews>
    <sheetView zoomScale="85" zoomScaleNormal="85" workbookViewId="0">
      <selection activeCell="H14" sqref="H14"/>
    </sheetView>
  </sheetViews>
  <sheetFormatPr defaultColWidth="11.42578125" defaultRowHeight="12.75" x14ac:dyDescent="0.2"/>
  <cols>
    <col min="1" max="1" width="8.28515625" style="12" customWidth="1"/>
    <col min="2" max="2" width="12.85546875" style="12" bestFit="1" customWidth="1"/>
    <col min="3" max="4" width="9.7109375" style="12" customWidth="1"/>
    <col min="5" max="5" width="34.5703125" style="12" customWidth="1"/>
    <col min="6" max="6" width="8.140625" style="12" bestFit="1" customWidth="1"/>
    <col min="7" max="7" width="9" style="12" customWidth="1"/>
    <col min="8" max="8" width="9.140625" style="12" customWidth="1"/>
    <col min="9" max="9" width="24.140625" style="12" customWidth="1"/>
    <col min="10" max="10" width="11.42578125" style="12"/>
    <col min="11" max="11" width="9.5703125" style="12" customWidth="1"/>
    <col min="12" max="16" width="14.42578125" style="12" customWidth="1"/>
    <col min="17" max="16384" width="11.42578125" style="12"/>
  </cols>
  <sheetData>
    <row r="1" spans="1:16" ht="21" customHeight="1" thickBot="1" x14ac:dyDescent="0.25">
      <c r="A1" s="216"/>
      <c r="B1" s="174" t="s">
        <v>129</v>
      </c>
      <c r="C1" s="175"/>
      <c r="D1" s="175"/>
      <c r="E1" s="175"/>
      <c r="F1" s="175"/>
      <c r="G1" s="175"/>
      <c r="H1" s="175"/>
      <c r="I1" s="175"/>
      <c r="J1" s="175"/>
      <c r="K1" s="175"/>
      <c r="L1" s="127"/>
      <c r="M1" s="126"/>
      <c r="N1" s="126"/>
      <c r="O1" s="126"/>
      <c r="P1" s="128"/>
    </row>
    <row r="2" spans="1:16" ht="29.25" customHeight="1" thickBot="1" x14ac:dyDescent="0.3">
      <c r="A2" s="217"/>
      <c r="B2" s="214" t="s">
        <v>35</v>
      </c>
      <c r="C2" s="214"/>
      <c r="D2" s="214"/>
      <c r="E2" s="215"/>
      <c r="F2" s="218" t="s">
        <v>36</v>
      </c>
      <c r="G2" s="219"/>
      <c r="H2" s="219"/>
      <c r="I2" s="219"/>
      <c r="J2" s="108"/>
      <c r="K2" s="109"/>
      <c r="L2" s="130"/>
      <c r="M2" s="131"/>
      <c r="N2" s="131"/>
      <c r="O2" s="131"/>
      <c r="P2" s="132"/>
    </row>
    <row r="3" spans="1:16" x14ac:dyDescent="0.2">
      <c r="A3" s="45" t="s">
        <v>0</v>
      </c>
      <c r="B3" s="46" t="s">
        <v>15</v>
      </c>
      <c r="C3" s="220">
        <v>28</v>
      </c>
      <c r="D3" s="220"/>
      <c r="E3" s="102" t="s">
        <v>187</v>
      </c>
      <c r="F3" s="45" t="s">
        <v>71</v>
      </c>
      <c r="G3" s="46"/>
      <c r="H3" s="46" t="s">
        <v>66</v>
      </c>
      <c r="I3" s="101"/>
      <c r="J3" s="106"/>
      <c r="K3" s="107"/>
      <c r="L3" s="106"/>
      <c r="M3" s="107"/>
      <c r="N3" s="107"/>
      <c r="O3" s="107"/>
      <c r="P3" s="113"/>
    </row>
    <row r="4" spans="1:16" x14ac:dyDescent="0.2">
      <c r="A4" s="45" t="s">
        <v>1</v>
      </c>
      <c r="B4" s="46"/>
      <c r="C4" s="221">
        <v>21.2</v>
      </c>
      <c r="D4" s="221"/>
      <c r="E4" s="102" t="s">
        <v>188</v>
      </c>
      <c r="F4" s="45" t="s">
        <v>32</v>
      </c>
      <c r="G4" s="46" t="s">
        <v>41</v>
      </c>
      <c r="H4" s="46">
        <v>206000</v>
      </c>
      <c r="I4" s="50" t="s">
        <v>97</v>
      </c>
      <c r="J4" s="106"/>
      <c r="K4" s="107"/>
      <c r="L4" s="106"/>
      <c r="M4" s="107"/>
      <c r="N4" s="107"/>
      <c r="O4" s="107"/>
      <c r="P4" s="113"/>
    </row>
    <row r="5" spans="1:16" x14ac:dyDescent="0.2">
      <c r="A5" s="45" t="s">
        <v>2</v>
      </c>
      <c r="B5" s="46" t="s">
        <v>15</v>
      </c>
      <c r="C5" s="222">
        <v>24.6</v>
      </c>
      <c r="D5" s="222"/>
      <c r="E5" s="102" t="s">
        <v>194</v>
      </c>
      <c r="F5" s="45" t="s">
        <v>30</v>
      </c>
      <c r="G5" s="46" t="s">
        <v>41</v>
      </c>
      <c r="H5" s="46">
        <v>81500</v>
      </c>
      <c r="I5" s="50" t="s">
        <v>98</v>
      </c>
      <c r="J5" s="106"/>
      <c r="K5" s="107"/>
      <c r="L5" s="106"/>
      <c r="M5" s="107"/>
      <c r="N5" s="107"/>
      <c r="O5" s="107"/>
      <c r="P5" s="113"/>
    </row>
    <row r="6" spans="1:16" x14ac:dyDescent="0.2">
      <c r="A6" s="45" t="s">
        <v>11</v>
      </c>
      <c r="B6" s="46" t="s">
        <v>15</v>
      </c>
      <c r="C6" s="220">
        <v>3.4</v>
      </c>
      <c r="D6" s="220"/>
      <c r="E6" s="102" t="s">
        <v>186</v>
      </c>
      <c r="F6" s="45" t="s">
        <v>31</v>
      </c>
      <c r="G6" s="46" t="s">
        <v>41</v>
      </c>
      <c r="H6" s="46">
        <v>895</v>
      </c>
      <c r="I6" s="50" t="s">
        <v>99</v>
      </c>
      <c r="J6" s="106"/>
      <c r="K6" s="107"/>
      <c r="L6" s="106"/>
      <c r="M6" s="107"/>
      <c r="N6" s="107"/>
      <c r="O6" s="107"/>
      <c r="P6" s="113"/>
    </row>
    <row r="7" spans="1:16" x14ac:dyDescent="0.2">
      <c r="A7" s="45" t="s">
        <v>17</v>
      </c>
      <c r="B7" s="46"/>
      <c r="C7" s="208" t="s">
        <v>262</v>
      </c>
      <c r="D7" s="208"/>
      <c r="E7" s="209"/>
      <c r="F7" s="45" t="s">
        <v>70</v>
      </c>
      <c r="G7" s="46" t="s">
        <v>41</v>
      </c>
      <c r="H7" s="46">
        <v>1790</v>
      </c>
      <c r="I7" s="50" t="s">
        <v>202</v>
      </c>
      <c r="J7" s="106"/>
      <c r="K7" s="107"/>
      <c r="L7" s="106"/>
      <c r="M7" s="107"/>
      <c r="N7" s="107"/>
      <c r="O7" s="107"/>
      <c r="P7" s="113"/>
    </row>
    <row r="8" spans="1:16" x14ac:dyDescent="0.2">
      <c r="A8" s="45" t="s">
        <v>19</v>
      </c>
      <c r="B8" s="46"/>
      <c r="C8" s="223">
        <v>7.2352941176470598</v>
      </c>
      <c r="D8" s="223"/>
      <c r="E8" s="102" t="s">
        <v>211</v>
      </c>
      <c r="F8" s="45"/>
      <c r="H8" s="46"/>
      <c r="I8" s="101"/>
      <c r="J8" s="106"/>
      <c r="K8" s="107"/>
      <c r="L8" s="106"/>
      <c r="M8" s="107"/>
      <c r="N8" s="107"/>
      <c r="O8" s="107"/>
      <c r="P8" s="113"/>
    </row>
    <row r="9" spans="1:16" x14ac:dyDescent="0.2">
      <c r="A9" s="45" t="s">
        <v>18</v>
      </c>
      <c r="B9" s="46"/>
      <c r="C9" s="224">
        <v>1.2052830188679244</v>
      </c>
      <c r="D9" s="224"/>
      <c r="E9" s="102" t="s">
        <v>212</v>
      </c>
      <c r="F9" s="45"/>
      <c r="G9" s="46" t="b">
        <v>1</v>
      </c>
      <c r="H9" s="46"/>
      <c r="I9" s="101"/>
      <c r="J9" s="106"/>
      <c r="K9" s="107"/>
      <c r="L9" s="106"/>
      <c r="M9" s="107"/>
      <c r="N9" s="107"/>
      <c r="O9" s="107"/>
      <c r="P9" s="113"/>
    </row>
    <row r="10" spans="1:16" ht="13.5" thickBot="1" x14ac:dyDescent="0.25">
      <c r="A10" s="180" t="s">
        <v>20</v>
      </c>
      <c r="B10" s="181"/>
      <c r="C10" s="210" t="s">
        <v>263</v>
      </c>
      <c r="D10" s="210"/>
      <c r="E10" s="211"/>
      <c r="F10" s="45"/>
      <c r="G10" s="46"/>
      <c r="H10" s="46"/>
      <c r="I10" s="101"/>
      <c r="J10" s="106"/>
      <c r="K10" s="107"/>
      <c r="L10" s="106"/>
      <c r="M10" s="107"/>
      <c r="N10" s="107"/>
      <c r="O10" s="107"/>
      <c r="P10" s="113"/>
    </row>
    <row r="11" spans="1:16" ht="26.25" customHeight="1" x14ac:dyDescent="0.25">
      <c r="A11" s="225" t="s">
        <v>130</v>
      </c>
      <c r="B11" s="226"/>
      <c r="C11" s="227"/>
      <c r="D11" s="226"/>
      <c r="E11" s="228"/>
      <c r="F11" s="184" t="s">
        <v>183</v>
      </c>
      <c r="G11" s="185"/>
      <c r="H11" s="185"/>
      <c r="I11" s="185"/>
      <c r="J11" s="106"/>
      <c r="K11" s="107"/>
      <c r="L11" s="106"/>
      <c r="M11" s="107"/>
      <c r="N11" s="107"/>
      <c r="O11" s="107"/>
      <c r="P11" s="113"/>
    </row>
    <row r="12" spans="1:16" ht="18" customHeight="1" thickBot="1" x14ac:dyDescent="0.25">
      <c r="A12" s="45" t="s">
        <v>7</v>
      </c>
      <c r="B12" s="46" t="s">
        <v>15</v>
      </c>
      <c r="C12" s="168">
        <v>3.9799999999999995</v>
      </c>
      <c r="D12" s="168">
        <v>16</v>
      </c>
      <c r="E12" s="101" t="s">
        <v>189</v>
      </c>
      <c r="F12" s="45"/>
      <c r="G12" s="46"/>
      <c r="H12" s="46"/>
      <c r="I12" s="107"/>
      <c r="J12" s="106"/>
      <c r="K12" s="107"/>
      <c r="L12" s="111"/>
      <c r="M12" s="110"/>
      <c r="N12" s="110"/>
      <c r="O12" s="110"/>
      <c r="P12" s="114"/>
    </row>
    <row r="13" spans="1:16" ht="18" customHeight="1" x14ac:dyDescent="0.25">
      <c r="A13" s="45" t="s">
        <v>3</v>
      </c>
      <c r="B13" s="46" t="s">
        <v>15</v>
      </c>
      <c r="C13" s="25">
        <v>105</v>
      </c>
      <c r="D13" s="25">
        <v>80</v>
      </c>
      <c r="E13" s="101" t="s">
        <v>190</v>
      </c>
      <c r="F13" s="45" t="s">
        <v>4</v>
      </c>
      <c r="G13" s="46" t="s">
        <v>15</v>
      </c>
      <c r="H13" s="51">
        <v>88</v>
      </c>
      <c r="I13" s="101" t="s">
        <v>203</v>
      </c>
      <c r="J13" s="130"/>
      <c r="K13" s="132"/>
      <c r="L13" s="178" t="s">
        <v>204</v>
      </c>
      <c r="M13" s="178"/>
      <c r="N13" s="178"/>
      <c r="O13" s="178"/>
      <c r="P13" s="179"/>
    </row>
    <row r="14" spans="1:16" ht="18" customHeight="1" x14ac:dyDescent="0.2">
      <c r="A14" s="45" t="s">
        <v>13</v>
      </c>
      <c r="B14" s="46"/>
      <c r="C14" s="25">
        <v>12</v>
      </c>
      <c r="D14" s="25">
        <v>5</v>
      </c>
      <c r="E14" s="101" t="s">
        <v>191</v>
      </c>
      <c r="F14" s="112" t="s">
        <v>12</v>
      </c>
      <c r="G14" s="46" t="s">
        <v>44</v>
      </c>
      <c r="H14" s="167">
        <v>148.05994745357677</v>
      </c>
      <c r="I14" s="101" t="s">
        <v>205</v>
      </c>
      <c r="J14" s="112"/>
      <c r="K14" s="113"/>
      <c r="L14" s="50" t="s">
        <v>210</v>
      </c>
      <c r="M14" s="29"/>
      <c r="N14" s="29">
        <v>1000000</v>
      </c>
      <c r="O14" s="107"/>
      <c r="P14" s="113"/>
    </row>
    <row r="15" spans="1:16" ht="18" customHeight="1" x14ac:dyDescent="0.2">
      <c r="A15" s="45" t="s">
        <v>21</v>
      </c>
      <c r="B15" s="46"/>
      <c r="C15" s="168">
        <v>10.5</v>
      </c>
      <c r="D15" s="168">
        <v>5</v>
      </c>
      <c r="E15" s="101" t="s">
        <v>192</v>
      </c>
      <c r="F15" s="112" t="s">
        <v>6</v>
      </c>
      <c r="G15" s="46" t="s">
        <v>15</v>
      </c>
      <c r="H15" s="167">
        <v>17</v>
      </c>
      <c r="I15" s="103" t="s">
        <v>206</v>
      </c>
      <c r="J15" s="106"/>
      <c r="K15" s="113"/>
      <c r="L15" s="107"/>
      <c r="M15" s="107"/>
      <c r="N15" s="107"/>
      <c r="O15" s="107"/>
      <c r="P15" s="113"/>
    </row>
    <row r="16" spans="1:16" ht="18" customHeight="1" x14ac:dyDescent="0.2">
      <c r="A16" s="180" t="s">
        <v>17</v>
      </c>
      <c r="B16" s="181"/>
      <c r="C16" s="212" t="s">
        <v>215</v>
      </c>
      <c r="D16" s="212"/>
      <c r="E16" s="211"/>
      <c r="F16" s="26" t="s">
        <v>22</v>
      </c>
      <c r="G16" s="46" t="s">
        <v>41</v>
      </c>
      <c r="H16" s="166">
        <v>284.81651307292753</v>
      </c>
      <c r="I16" s="50" t="s">
        <v>213</v>
      </c>
      <c r="J16" s="106"/>
      <c r="K16" s="113"/>
      <c r="L16" s="107"/>
      <c r="M16" s="107"/>
      <c r="N16" s="107"/>
      <c r="O16" s="107"/>
      <c r="P16" s="113"/>
    </row>
    <row r="17" spans="1:16" ht="18" customHeight="1" x14ac:dyDescent="0.2">
      <c r="A17" s="45" t="s">
        <v>92</v>
      </c>
      <c r="B17" s="46" t="s">
        <v>15</v>
      </c>
      <c r="C17" s="177">
        <f>C15*SQRT(C12^2+PI()^2*C5^2)</f>
        <v>812.54873975645103</v>
      </c>
      <c r="D17" s="177"/>
      <c r="E17" s="18"/>
      <c r="F17" s="129" t="s">
        <v>131</v>
      </c>
      <c r="G17" s="206" t="s">
        <v>264</v>
      </c>
      <c r="H17" s="206"/>
      <c r="I17" s="206"/>
      <c r="J17" s="106"/>
      <c r="K17" s="113"/>
      <c r="L17" s="107"/>
      <c r="M17" s="107"/>
      <c r="N17" s="107"/>
      <c r="O17" s="107"/>
      <c r="P17" s="113"/>
    </row>
    <row r="18" spans="1:16" ht="18" customHeight="1" x14ac:dyDescent="0.2">
      <c r="A18" s="45" t="s">
        <v>9</v>
      </c>
      <c r="B18" s="46" t="s">
        <v>42</v>
      </c>
      <c r="C18" s="138">
        <v>8.7094086737398104</v>
      </c>
      <c r="D18" s="138">
        <v>18.289758214853606</v>
      </c>
      <c r="E18" s="18" t="s">
        <v>14</v>
      </c>
      <c r="F18" s="45"/>
      <c r="G18" s="46"/>
      <c r="H18" s="46"/>
      <c r="I18" s="107"/>
      <c r="J18" s="52"/>
      <c r="K18" s="113"/>
      <c r="L18" s="107"/>
      <c r="M18" s="107"/>
      <c r="N18" s="107"/>
      <c r="O18" s="107"/>
      <c r="P18" s="113"/>
    </row>
    <row r="19" spans="1:16" ht="18" customHeight="1" x14ac:dyDescent="0.2">
      <c r="A19" s="26" t="s">
        <v>10</v>
      </c>
      <c r="B19" s="46" t="s">
        <v>43</v>
      </c>
      <c r="C19" s="138">
        <v>0.11481835764753485</v>
      </c>
      <c r="D19" s="138">
        <v>5.4675408403588026E-2</v>
      </c>
      <c r="E19" s="18" t="s">
        <v>16</v>
      </c>
      <c r="F19" s="45" t="s">
        <v>37</v>
      </c>
      <c r="G19" s="46" t="s">
        <v>15</v>
      </c>
      <c r="H19" s="51">
        <v>70</v>
      </c>
      <c r="I19" s="101" t="s">
        <v>207</v>
      </c>
      <c r="J19" s="106"/>
      <c r="K19" s="113"/>
      <c r="L19" s="107"/>
      <c r="M19" s="107"/>
      <c r="N19" s="107"/>
      <c r="O19" s="107"/>
      <c r="P19" s="113"/>
    </row>
    <row r="20" spans="1:16" ht="18" customHeight="1" x14ac:dyDescent="0.2">
      <c r="A20" s="45" t="s">
        <v>5</v>
      </c>
      <c r="B20" s="46" t="s">
        <v>15</v>
      </c>
      <c r="C20" s="138">
        <v>80</v>
      </c>
      <c r="D20" s="20">
        <v>40.799999999999997</v>
      </c>
      <c r="E20" s="18" t="s">
        <v>8</v>
      </c>
      <c r="F20" s="112" t="s">
        <v>39</v>
      </c>
      <c r="G20" s="46" t="s">
        <v>44</v>
      </c>
      <c r="H20" s="167">
        <v>400.63279899203133</v>
      </c>
      <c r="I20" s="101" t="s">
        <v>208</v>
      </c>
      <c r="J20" s="106"/>
      <c r="K20" s="113"/>
      <c r="L20" s="107"/>
      <c r="M20" s="107"/>
      <c r="N20" s="107"/>
      <c r="O20" s="107"/>
      <c r="P20" s="113"/>
    </row>
    <row r="21" spans="1:16" ht="18" customHeight="1" x14ac:dyDescent="0.2">
      <c r="A21" s="45" t="s">
        <v>24</v>
      </c>
      <c r="B21" s="46" t="s">
        <v>44</v>
      </c>
      <c r="C21" s="138">
        <v>217.73521684349529</v>
      </c>
      <c r="D21" s="20">
        <v>934.6937388657567</v>
      </c>
      <c r="E21" s="18" t="s">
        <v>25</v>
      </c>
      <c r="F21" s="112" t="s">
        <v>38</v>
      </c>
      <c r="G21" s="46" t="s">
        <v>15</v>
      </c>
      <c r="H21" s="167">
        <v>35</v>
      </c>
      <c r="I21" s="103" t="s">
        <v>209</v>
      </c>
      <c r="J21" s="106"/>
      <c r="K21" s="113"/>
      <c r="L21" s="107"/>
      <c r="M21" s="107"/>
      <c r="N21" s="107"/>
      <c r="O21" s="107"/>
      <c r="P21" s="113"/>
    </row>
    <row r="22" spans="1:16" ht="18" customHeight="1" x14ac:dyDescent="0.2">
      <c r="A22" s="45" t="s">
        <v>26</v>
      </c>
      <c r="B22" s="46" t="s">
        <v>15</v>
      </c>
      <c r="C22" s="20">
        <v>25</v>
      </c>
      <c r="D22" s="20">
        <v>20.800000000000004</v>
      </c>
      <c r="E22" s="18" t="s">
        <v>27</v>
      </c>
      <c r="F22" s="26" t="s">
        <v>40</v>
      </c>
      <c r="G22" s="46" t="s">
        <v>41</v>
      </c>
      <c r="H22" s="166">
        <v>770.67997655027466</v>
      </c>
      <c r="I22" s="50" t="s">
        <v>214</v>
      </c>
      <c r="J22" s="106"/>
      <c r="K22" s="113"/>
      <c r="L22" s="107"/>
      <c r="M22" s="107"/>
      <c r="N22" s="107"/>
      <c r="O22" s="107"/>
      <c r="P22" s="113"/>
    </row>
    <row r="23" spans="1:16" ht="18" customHeight="1" x14ac:dyDescent="0.2">
      <c r="A23" s="45" t="s">
        <v>28</v>
      </c>
      <c r="B23" s="46" t="s">
        <v>15</v>
      </c>
      <c r="C23" s="138">
        <v>24.63899551523966</v>
      </c>
      <c r="D23" s="20">
        <v>25.828666245085131</v>
      </c>
      <c r="E23" s="18" t="s">
        <v>29</v>
      </c>
      <c r="F23" s="129" t="s">
        <v>131</v>
      </c>
      <c r="G23" s="206" t="s">
        <v>264</v>
      </c>
      <c r="H23" s="207"/>
      <c r="I23" s="206"/>
      <c r="J23" s="106"/>
      <c r="K23" s="113"/>
      <c r="L23" s="107"/>
      <c r="M23" s="107"/>
      <c r="N23" s="107"/>
      <c r="O23" s="107"/>
      <c r="P23" s="113"/>
    </row>
    <row r="24" spans="1:16" ht="18" customHeight="1" x14ac:dyDescent="0.2">
      <c r="A24" s="26" t="s">
        <v>22</v>
      </c>
      <c r="B24" s="46" t="s">
        <v>41</v>
      </c>
      <c r="C24" s="138">
        <v>418.84781334254052</v>
      </c>
      <c r="D24" s="138">
        <v>1798.0298931168584</v>
      </c>
      <c r="E24" s="18" t="s">
        <v>23</v>
      </c>
      <c r="F24" s="45"/>
      <c r="G24" s="46"/>
      <c r="H24" s="46"/>
      <c r="I24" s="107"/>
      <c r="J24" s="106"/>
      <c r="K24" s="113"/>
      <c r="L24" s="107"/>
      <c r="M24" s="107"/>
      <c r="N24" s="107"/>
      <c r="O24" s="107"/>
      <c r="P24" s="113"/>
    </row>
    <row r="25" spans="1:16" ht="18" customHeight="1" thickBot="1" x14ac:dyDescent="0.25">
      <c r="A25" s="193" t="s">
        <v>33</v>
      </c>
      <c r="B25" s="194"/>
      <c r="C25" s="203" t="s">
        <v>265</v>
      </c>
      <c r="D25" s="204"/>
      <c r="E25" s="205"/>
      <c r="F25" s="47"/>
      <c r="G25" s="44"/>
      <c r="H25" s="44"/>
      <c r="I25" s="110"/>
      <c r="J25" s="111"/>
      <c r="K25" s="114"/>
      <c r="L25" s="110"/>
      <c r="M25" s="110"/>
      <c r="N25" s="110"/>
      <c r="O25" s="110"/>
      <c r="P25" s="114"/>
    </row>
    <row r="26" spans="1:16" ht="18" customHeight="1" x14ac:dyDescent="0.25">
      <c r="N26" s="1"/>
    </row>
    <row r="27" spans="1:16" ht="18" customHeight="1" x14ac:dyDescent="0.2"/>
    <row r="28" spans="1:16" ht="16.5" customHeight="1" x14ac:dyDescent="0.2"/>
    <row r="30" spans="1:16" ht="18" x14ac:dyDescent="0.25">
      <c r="A30" s="198" t="s">
        <v>119</v>
      </c>
      <c r="B30" s="198"/>
      <c r="C30" s="198"/>
      <c r="D30" s="198"/>
    </row>
    <row r="32" spans="1:16" x14ac:dyDescent="0.2">
      <c r="A32" s="12" t="s">
        <v>73</v>
      </c>
      <c r="C32" s="12">
        <f>VLOOKUP('Compression Spring 2K'!H3,Hoja2!A2:F22,2)</f>
        <v>0.47601521250122947</v>
      </c>
    </row>
    <row r="33" spans="1:5" ht="21" customHeight="1" x14ac:dyDescent="0.2">
      <c r="A33" s="54" t="s">
        <v>125</v>
      </c>
      <c r="C33" s="12">
        <f>(VLOOKUP('Compression Spring 2K'!H3,Hoja2!A2:F22,3)*N14+VLOOKUP('Compression Spring 2K'!H3,Hoja2!A2:F22,4))*C35</f>
        <v>0.31960989599204914</v>
      </c>
    </row>
    <row r="34" spans="1:5" x14ac:dyDescent="0.2">
      <c r="A34" s="54" t="s">
        <v>123</v>
      </c>
      <c r="C34" s="12">
        <f>VLOOKUP('Compression Spring 2K'!H3,Hoja2!A2:F22,5)</f>
        <v>0.71964387134949526</v>
      </c>
      <c r="E34" s="6"/>
    </row>
    <row r="35" spans="1:5" x14ac:dyDescent="0.2">
      <c r="A35" s="54" t="s">
        <v>126</v>
      </c>
      <c r="C35" s="13">
        <f>IF(G9,1,VLOOKUP('Compression Spring 2K'!H3,Hoja2!A2:F22,6))</f>
        <v>1</v>
      </c>
    </row>
    <row r="37" spans="1:5" x14ac:dyDescent="0.2">
      <c r="B37" s="12">
        <v>0</v>
      </c>
      <c r="C37" s="12">
        <v>0</v>
      </c>
    </row>
    <row r="38" spans="1:5" x14ac:dyDescent="0.2">
      <c r="B38" s="12">
        <v>1200</v>
      </c>
      <c r="C38" s="12">
        <v>1200</v>
      </c>
    </row>
    <row r="40" spans="1:5" x14ac:dyDescent="0.2">
      <c r="B40" s="12">
        <f>$H16</f>
        <v>284.81651307292753</v>
      </c>
      <c r="C40" s="12">
        <f>$H16</f>
        <v>284.81651307292753</v>
      </c>
    </row>
    <row r="41" spans="1:5" x14ac:dyDescent="0.2">
      <c r="B41" s="12">
        <f>$H16</f>
        <v>284.81651307292753</v>
      </c>
      <c r="C41" s="12">
        <f>$H22</f>
        <v>770.67997655027466</v>
      </c>
    </row>
    <row r="45" spans="1:5" x14ac:dyDescent="0.2">
      <c r="B45" s="7">
        <v>0</v>
      </c>
      <c r="C45" s="12">
        <f>C33*H7</f>
        <v>572.101713825768</v>
      </c>
    </row>
    <row r="46" spans="1:5" x14ac:dyDescent="0.2">
      <c r="B46" s="7">
        <f>(C46-C45)/C34</f>
        <v>389.03342013659341</v>
      </c>
      <c r="C46" s="7">
        <f>H7*C32</f>
        <v>852.06723037720076</v>
      </c>
    </row>
    <row r="47" spans="1:5" x14ac:dyDescent="0.2">
      <c r="B47" s="7">
        <f>C46</f>
        <v>852.06723037720076</v>
      </c>
      <c r="C47" s="7">
        <f>C46</f>
        <v>852.06723037720076</v>
      </c>
    </row>
    <row r="49" spans="1:4" x14ac:dyDescent="0.2">
      <c r="A49" s="202" t="s">
        <v>217</v>
      </c>
      <c r="B49" s="213"/>
      <c r="C49" s="213"/>
      <c r="D49" s="213"/>
    </row>
    <row r="51" spans="1:4" x14ac:dyDescent="0.2">
      <c r="B51" s="12">
        <f>H15</f>
        <v>17</v>
      </c>
      <c r="C51" s="12">
        <f>H14</f>
        <v>148.05994745357677</v>
      </c>
    </row>
    <row r="52" spans="1:4" x14ac:dyDescent="0.2">
      <c r="B52" s="12">
        <f>C22</f>
        <v>25</v>
      </c>
      <c r="C52" s="13">
        <f>IF(H19&lt;C20,C21,H20)</f>
        <v>217.73521684349529</v>
      </c>
    </row>
    <row r="53" spans="1:4" x14ac:dyDescent="0.2">
      <c r="B53" s="13">
        <f>H21</f>
        <v>35</v>
      </c>
      <c r="C53" s="13">
        <f>IF(H19&lt;C20,H20,"")</f>
        <v>400.63279899203133</v>
      </c>
    </row>
    <row r="54" spans="1:4" x14ac:dyDescent="0.2">
      <c r="D54" s="7"/>
    </row>
    <row r="55" spans="1:4" x14ac:dyDescent="0.2">
      <c r="D55" s="7"/>
    </row>
    <row r="69" spans="3:8" x14ac:dyDescent="0.2">
      <c r="C69" s="12">
        <v>1.05</v>
      </c>
    </row>
    <row r="70" spans="3:8" x14ac:dyDescent="0.2">
      <c r="C70" s="12">
        <v>0.5</v>
      </c>
    </row>
    <row r="71" spans="3:8" x14ac:dyDescent="0.2">
      <c r="C71" s="12">
        <v>719.1782562746339</v>
      </c>
    </row>
    <row r="75" spans="3:8" x14ac:dyDescent="0.2">
      <c r="H75" s="7"/>
    </row>
    <row r="76" spans="3:8" x14ac:dyDescent="0.2">
      <c r="H76" s="7"/>
    </row>
    <row r="80" spans="3:8" x14ac:dyDescent="0.2">
      <c r="H80" s="7"/>
    </row>
    <row r="81" spans="8:8" x14ac:dyDescent="0.2">
      <c r="H81" s="7"/>
    </row>
    <row r="422" spans="4:4" x14ac:dyDescent="0.2">
      <c r="D422" s="12">
        <v>39.200000000000003</v>
      </c>
    </row>
  </sheetData>
  <mergeCells count="25">
    <mergeCell ref="L13:P13"/>
    <mergeCell ref="B1:K1"/>
    <mergeCell ref="A49:D49"/>
    <mergeCell ref="B2:E2"/>
    <mergeCell ref="A1:A2"/>
    <mergeCell ref="F2:I2"/>
    <mergeCell ref="F11:I11"/>
    <mergeCell ref="C3:D3"/>
    <mergeCell ref="C4:D4"/>
    <mergeCell ref="C5:D5"/>
    <mergeCell ref="C6:D6"/>
    <mergeCell ref="C8:D8"/>
    <mergeCell ref="C9:D9"/>
    <mergeCell ref="C17:D17"/>
    <mergeCell ref="A11:E11"/>
    <mergeCell ref="G17:I17"/>
    <mergeCell ref="A30:D30"/>
    <mergeCell ref="A25:B25"/>
    <mergeCell ref="C25:E25"/>
    <mergeCell ref="G23:I23"/>
    <mergeCell ref="C7:E7"/>
    <mergeCell ref="A10:B10"/>
    <mergeCell ref="C10:E10"/>
    <mergeCell ref="A16:B16"/>
    <mergeCell ref="C16:E16"/>
  </mergeCells>
  <pageMargins left="0.75" right="0.75" top="1" bottom="1" header="0" footer="0"/>
  <pageSetup paperSize="8" scale="8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207" r:id="rId4" name="ShotPeening">
          <controlPr defaultSize="0" autoLine="0" r:id="rId5">
            <anchor>
              <from>
                <xdr:col>5</xdr:col>
                <xdr:colOff>47625</xdr:colOff>
                <xdr:row>7</xdr:row>
                <xdr:rowOff>38100</xdr:rowOff>
              </from>
              <to>
                <xdr:col>7</xdr:col>
                <xdr:colOff>476250</xdr:colOff>
                <xdr:row>9</xdr:row>
                <xdr:rowOff>76200</xdr:rowOff>
              </to>
            </anchor>
          </controlPr>
        </control>
      </mc:Choice>
      <mc:Fallback>
        <control shapeId="8207" r:id="rId4" name="ShotPeening"/>
      </mc:Fallback>
    </mc:AlternateContent>
    <mc:AlternateContent xmlns:mc="http://schemas.openxmlformats.org/markup-compatibility/2006">
      <mc:Choice Requires="x14">
        <control shapeId="8198" r:id="rId6" name="MuelleTipo4">
          <controlPr defaultSize="0" autoLine="0" autoPict="0" r:id="rId7">
            <anchor moveWithCells="1" sizeWithCells="1">
              <from>
                <xdr:col>9</xdr:col>
                <xdr:colOff>114300</xdr:colOff>
                <xdr:row>19</xdr:row>
                <xdr:rowOff>200025</xdr:rowOff>
              </from>
              <to>
                <xdr:col>10</xdr:col>
                <xdr:colOff>180975</xdr:colOff>
                <xdr:row>20</xdr:row>
                <xdr:rowOff>190500</xdr:rowOff>
              </to>
            </anchor>
          </controlPr>
        </control>
      </mc:Choice>
      <mc:Fallback>
        <control shapeId="8198" r:id="rId6" name="MuelleTipo4"/>
      </mc:Fallback>
    </mc:AlternateContent>
    <mc:AlternateContent xmlns:mc="http://schemas.openxmlformats.org/markup-compatibility/2006">
      <mc:Choice Requires="x14">
        <control shapeId="8197" r:id="rId8" name="MuelleTipo3">
          <controlPr defaultSize="0" autoLine="0" r:id="rId9">
            <anchor moveWithCells="1" sizeWithCells="1">
              <from>
                <xdr:col>9</xdr:col>
                <xdr:colOff>114300</xdr:colOff>
                <xdr:row>14</xdr:row>
                <xdr:rowOff>104775</xdr:rowOff>
              </from>
              <to>
                <xdr:col>10</xdr:col>
                <xdr:colOff>180975</xdr:colOff>
                <xdr:row>15</xdr:row>
                <xdr:rowOff>95250</xdr:rowOff>
              </to>
            </anchor>
          </controlPr>
        </control>
      </mc:Choice>
      <mc:Fallback>
        <control shapeId="8197" r:id="rId8" name="MuelleTipo3"/>
      </mc:Fallback>
    </mc:AlternateContent>
    <mc:AlternateContent xmlns:mc="http://schemas.openxmlformats.org/markup-compatibility/2006">
      <mc:Choice Requires="x14">
        <control shapeId="8196" r:id="rId10" name="MuelleTipo2">
          <controlPr defaultSize="0" autoLine="0" r:id="rId11">
            <anchor moveWithCells="1" sizeWithCells="1">
              <from>
                <xdr:col>9</xdr:col>
                <xdr:colOff>114300</xdr:colOff>
                <xdr:row>9</xdr:row>
                <xdr:rowOff>76200</xdr:rowOff>
              </from>
              <to>
                <xdr:col>10</xdr:col>
                <xdr:colOff>180975</xdr:colOff>
                <xdr:row>10</xdr:row>
                <xdr:rowOff>123825</xdr:rowOff>
              </to>
            </anchor>
          </controlPr>
        </control>
      </mc:Choice>
      <mc:Fallback>
        <control shapeId="8196" r:id="rId10" name="MuelleTipo2"/>
      </mc:Fallback>
    </mc:AlternateContent>
    <mc:AlternateContent xmlns:mc="http://schemas.openxmlformats.org/markup-compatibility/2006">
      <mc:Choice Requires="x14">
        <control shapeId="8195" r:id="rId12" name="MuelleTipo1">
          <controlPr defaultSize="0" autoLine="0" r:id="rId13">
            <anchor moveWithCells="1" sizeWithCells="1">
              <from>
                <xdr:col>9</xdr:col>
                <xdr:colOff>114300</xdr:colOff>
                <xdr:row>1</xdr:row>
                <xdr:rowOff>333375</xdr:rowOff>
              </from>
              <to>
                <xdr:col>10</xdr:col>
                <xdr:colOff>180975</xdr:colOff>
                <xdr:row>3</xdr:row>
                <xdr:rowOff>19050</xdr:rowOff>
              </to>
            </anchor>
          </controlPr>
        </control>
      </mc:Choice>
      <mc:Fallback>
        <control shapeId="8195" r:id="rId12" name="MuelleTipo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Hoja2!$A$2:$A$22</xm:f>
          </x14:formula1>
          <xm:sqref>H3</xm:sqref>
        </x14:dataValidation>
        <x14:dataValidation type="list" allowBlank="1" showInputMessage="1" showErrorMessage="1">
          <x14:formula1>
            <xm:f>Hoja2!$L$2:$L$90</xm:f>
          </x14:formula1>
          <xm:sqref>C6</xm:sqref>
        </x14:dataValidation>
        <x14:dataValidation type="list" allowBlank="1" showInputMessage="1" showErrorMessage="1">
          <x14:formula1>
            <xm:f>Hoja2!$I$2:$I$4</xm:f>
          </x14:formula1>
          <xm:sqref>N14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O54"/>
  <sheetViews>
    <sheetView zoomScaleNormal="100" workbookViewId="0">
      <selection activeCell="D3" sqref="D3:D6"/>
    </sheetView>
  </sheetViews>
  <sheetFormatPr defaultColWidth="10.85546875" defaultRowHeight="12.75" x14ac:dyDescent="0.2"/>
  <cols>
    <col min="1" max="1" width="8.28515625" style="56" customWidth="1"/>
    <col min="2" max="2" width="7.85546875" style="56" customWidth="1"/>
    <col min="3" max="3" width="12.28515625" style="56" bestFit="1" customWidth="1"/>
    <col min="4" max="4" width="43.7109375" style="56" customWidth="1"/>
    <col min="5" max="5" width="8.140625" style="56" bestFit="1" customWidth="1"/>
    <col min="6" max="6" width="9.42578125" style="56" customWidth="1"/>
    <col min="7" max="7" width="13.28515625" style="56" customWidth="1"/>
    <col min="8" max="8" width="32.140625" style="56" customWidth="1"/>
    <col min="9" max="10" width="11.42578125" style="56"/>
    <col min="11" max="11" width="7.42578125" style="56" customWidth="1"/>
    <col min="12" max="15" width="13.7109375" style="56" customWidth="1"/>
    <col min="16" max="253" width="11.42578125" style="56"/>
    <col min="254" max="254" width="8.28515625" style="56" customWidth="1"/>
    <col min="255" max="256" width="12.28515625" style="56" bestFit="1" customWidth="1"/>
    <col min="257" max="257" width="31.28515625" style="56" bestFit="1" customWidth="1"/>
    <col min="258" max="258" width="11.42578125" style="56"/>
    <col min="259" max="259" width="8.140625" style="56" bestFit="1" customWidth="1"/>
    <col min="260" max="260" width="6.7109375" style="56" bestFit="1" customWidth="1"/>
    <col min="261" max="261" width="18.7109375" style="56" customWidth="1"/>
    <col min="262" max="509" width="11.42578125" style="56"/>
    <col min="510" max="510" width="8.28515625" style="56" customWidth="1"/>
    <col min="511" max="512" width="12.28515625" style="56" bestFit="1" customWidth="1"/>
    <col min="513" max="513" width="31.28515625" style="56" bestFit="1" customWidth="1"/>
    <col min="514" max="514" width="11.42578125" style="56"/>
    <col min="515" max="515" width="8.140625" style="56" bestFit="1" customWidth="1"/>
    <col min="516" max="516" width="6.7109375" style="56" bestFit="1" customWidth="1"/>
    <col min="517" max="517" width="18.7109375" style="56" customWidth="1"/>
    <col min="518" max="765" width="11.42578125" style="56"/>
    <col min="766" max="766" width="8.28515625" style="56" customWidth="1"/>
    <col min="767" max="768" width="12.28515625" style="56" bestFit="1" customWidth="1"/>
    <col min="769" max="769" width="31.28515625" style="56" bestFit="1" customWidth="1"/>
    <col min="770" max="770" width="11.42578125" style="56"/>
    <col min="771" max="771" width="8.140625" style="56" bestFit="1" customWidth="1"/>
    <col min="772" max="772" width="6.7109375" style="56" bestFit="1" customWidth="1"/>
    <col min="773" max="773" width="18.7109375" style="56" customWidth="1"/>
    <col min="774" max="1021" width="11.42578125" style="56"/>
    <col min="1022" max="1022" width="8.28515625" style="56" customWidth="1"/>
    <col min="1023" max="1024" width="12.28515625" style="56" bestFit="1" customWidth="1"/>
    <col min="1025" max="1025" width="31.28515625" style="56" bestFit="1" customWidth="1"/>
    <col min="1026" max="1026" width="11.42578125" style="56"/>
    <col min="1027" max="1027" width="8.140625" style="56" bestFit="1" customWidth="1"/>
    <col min="1028" max="1028" width="6.7109375" style="56" bestFit="1" customWidth="1"/>
    <col min="1029" max="1029" width="18.7109375" style="56" customWidth="1"/>
    <col min="1030" max="1277" width="11.42578125" style="56"/>
    <col min="1278" max="1278" width="8.28515625" style="56" customWidth="1"/>
    <col min="1279" max="1280" width="12.28515625" style="56" bestFit="1" customWidth="1"/>
    <col min="1281" max="1281" width="31.28515625" style="56" bestFit="1" customWidth="1"/>
    <col min="1282" max="1282" width="11.42578125" style="56"/>
    <col min="1283" max="1283" width="8.140625" style="56" bestFit="1" customWidth="1"/>
    <col min="1284" max="1284" width="6.7109375" style="56" bestFit="1" customWidth="1"/>
    <col min="1285" max="1285" width="18.7109375" style="56" customWidth="1"/>
    <col min="1286" max="1533" width="11.42578125" style="56"/>
    <col min="1534" max="1534" width="8.28515625" style="56" customWidth="1"/>
    <col min="1535" max="1536" width="12.28515625" style="56" bestFit="1" customWidth="1"/>
    <col min="1537" max="1537" width="31.28515625" style="56" bestFit="1" customWidth="1"/>
    <col min="1538" max="1538" width="11.42578125" style="56"/>
    <col min="1539" max="1539" width="8.140625" style="56" bestFit="1" customWidth="1"/>
    <col min="1540" max="1540" width="6.7109375" style="56" bestFit="1" customWidth="1"/>
    <col min="1541" max="1541" width="18.7109375" style="56" customWidth="1"/>
    <col min="1542" max="1789" width="11.42578125" style="56"/>
    <col min="1790" max="1790" width="8.28515625" style="56" customWidth="1"/>
    <col min="1791" max="1792" width="12.28515625" style="56" bestFit="1" customWidth="1"/>
    <col min="1793" max="1793" width="31.28515625" style="56" bestFit="1" customWidth="1"/>
    <col min="1794" max="1794" width="11.42578125" style="56"/>
    <col min="1795" max="1795" width="8.140625" style="56" bestFit="1" customWidth="1"/>
    <col min="1796" max="1796" width="6.7109375" style="56" bestFit="1" customWidth="1"/>
    <col min="1797" max="1797" width="18.7109375" style="56" customWidth="1"/>
    <col min="1798" max="2045" width="11.42578125" style="56"/>
    <col min="2046" max="2046" width="8.28515625" style="56" customWidth="1"/>
    <col min="2047" max="2048" width="12.28515625" style="56" bestFit="1" customWidth="1"/>
    <col min="2049" max="2049" width="31.28515625" style="56" bestFit="1" customWidth="1"/>
    <col min="2050" max="2050" width="11.42578125" style="56"/>
    <col min="2051" max="2051" width="8.140625" style="56" bestFit="1" customWidth="1"/>
    <col min="2052" max="2052" width="6.7109375" style="56" bestFit="1" customWidth="1"/>
    <col min="2053" max="2053" width="18.7109375" style="56" customWidth="1"/>
    <col min="2054" max="2301" width="11.42578125" style="56"/>
    <col min="2302" max="2302" width="8.28515625" style="56" customWidth="1"/>
    <col min="2303" max="2304" width="12.28515625" style="56" bestFit="1" customWidth="1"/>
    <col min="2305" max="2305" width="31.28515625" style="56" bestFit="1" customWidth="1"/>
    <col min="2306" max="2306" width="11.42578125" style="56"/>
    <col min="2307" max="2307" width="8.140625" style="56" bestFit="1" customWidth="1"/>
    <col min="2308" max="2308" width="6.7109375" style="56" bestFit="1" customWidth="1"/>
    <col min="2309" max="2309" width="18.7109375" style="56" customWidth="1"/>
    <col min="2310" max="2557" width="11.42578125" style="56"/>
    <col min="2558" max="2558" width="8.28515625" style="56" customWidth="1"/>
    <col min="2559" max="2560" width="12.28515625" style="56" bestFit="1" customWidth="1"/>
    <col min="2561" max="2561" width="31.28515625" style="56" bestFit="1" customWidth="1"/>
    <col min="2562" max="2562" width="11.42578125" style="56"/>
    <col min="2563" max="2563" width="8.140625" style="56" bestFit="1" customWidth="1"/>
    <col min="2564" max="2564" width="6.7109375" style="56" bestFit="1" customWidth="1"/>
    <col min="2565" max="2565" width="18.7109375" style="56" customWidth="1"/>
    <col min="2566" max="2813" width="11.42578125" style="56"/>
    <col min="2814" max="2814" width="8.28515625" style="56" customWidth="1"/>
    <col min="2815" max="2816" width="12.28515625" style="56" bestFit="1" customWidth="1"/>
    <col min="2817" max="2817" width="31.28515625" style="56" bestFit="1" customWidth="1"/>
    <col min="2818" max="2818" width="11.42578125" style="56"/>
    <col min="2819" max="2819" width="8.140625" style="56" bestFit="1" customWidth="1"/>
    <col min="2820" max="2820" width="6.7109375" style="56" bestFit="1" customWidth="1"/>
    <col min="2821" max="2821" width="18.7109375" style="56" customWidth="1"/>
    <col min="2822" max="3069" width="11.42578125" style="56"/>
    <col min="3070" max="3070" width="8.28515625" style="56" customWidth="1"/>
    <col min="3071" max="3072" width="12.28515625" style="56" bestFit="1" customWidth="1"/>
    <col min="3073" max="3073" width="31.28515625" style="56" bestFit="1" customWidth="1"/>
    <col min="3074" max="3074" width="11.42578125" style="56"/>
    <col min="3075" max="3075" width="8.140625" style="56" bestFit="1" customWidth="1"/>
    <col min="3076" max="3076" width="6.7109375" style="56" bestFit="1" customWidth="1"/>
    <col min="3077" max="3077" width="18.7109375" style="56" customWidth="1"/>
    <col min="3078" max="3325" width="11.42578125" style="56"/>
    <col min="3326" max="3326" width="8.28515625" style="56" customWidth="1"/>
    <col min="3327" max="3328" width="12.28515625" style="56" bestFit="1" customWidth="1"/>
    <col min="3329" max="3329" width="31.28515625" style="56" bestFit="1" customWidth="1"/>
    <col min="3330" max="3330" width="11.42578125" style="56"/>
    <col min="3331" max="3331" width="8.140625" style="56" bestFit="1" customWidth="1"/>
    <col min="3332" max="3332" width="6.7109375" style="56" bestFit="1" customWidth="1"/>
    <col min="3333" max="3333" width="18.7109375" style="56" customWidth="1"/>
    <col min="3334" max="3581" width="11.42578125" style="56"/>
    <col min="3582" max="3582" width="8.28515625" style="56" customWidth="1"/>
    <col min="3583" max="3584" width="12.28515625" style="56" bestFit="1" customWidth="1"/>
    <col min="3585" max="3585" width="31.28515625" style="56" bestFit="1" customWidth="1"/>
    <col min="3586" max="3586" width="11.42578125" style="56"/>
    <col min="3587" max="3587" width="8.140625" style="56" bestFit="1" customWidth="1"/>
    <col min="3588" max="3588" width="6.7109375" style="56" bestFit="1" customWidth="1"/>
    <col min="3589" max="3589" width="18.7109375" style="56" customWidth="1"/>
    <col min="3590" max="3837" width="11.42578125" style="56"/>
    <col min="3838" max="3838" width="8.28515625" style="56" customWidth="1"/>
    <col min="3839" max="3840" width="12.28515625" style="56" bestFit="1" customWidth="1"/>
    <col min="3841" max="3841" width="31.28515625" style="56" bestFit="1" customWidth="1"/>
    <col min="3842" max="3842" width="11.42578125" style="56"/>
    <col min="3843" max="3843" width="8.140625" style="56" bestFit="1" customWidth="1"/>
    <col min="3844" max="3844" width="6.7109375" style="56" bestFit="1" customWidth="1"/>
    <col min="3845" max="3845" width="18.7109375" style="56" customWidth="1"/>
    <col min="3846" max="4093" width="11.42578125" style="56"/>
    <col min="4094" max="4094" width="8.28515625" style="56" customWidth="1"/>
    <col min="4095" max="4096" width="12.28515625" style="56" bestFit="1" customWidth="1"/>
    <col min="4097" max="4097" width="31.28515625" style="56" bestFit="1" customWidth="1"/>
    <col min="4098" max="4098" width="11.42578125" style="56"/>
    <col min="4099" max="4099" width="8.140625" style="56" bestFit="1" customWidth="1"/>
    <col min="4100" max="4100" width="6.7109375" style="56" bestFit="1" customWidth="1"/>
    <col min="4101" max="4101" width="18.7109375" style="56" customWidth="1"/>
    <col min="4102" max="4349" width="11.42578125" style="56"/>
    <col min="4350" max="4350" width="8.28515625" style="56" customWidth="1"/>
    <col min="4351" max="4352" width="12.28515625" style="56" bestFit="1" customWidth="1"/>
    <col min="4353" max="4353" width="31.28515625" style="56" bestFit="1" customWidth="1"/>
    <col min="4354" max="4354" width="11.42578125" style="56"/>
    <col min="4355" max="4355" width="8.140625" style="56" bestFit="1" customWidth="1"/>
    <col min="4356" max="4356" width="6.7109375" style="56" bestFit="1" customWidth="1"/>
    <col min="4357" max="4357" width="18.7109375" style="56" customWidth="1"/>
    <col min="4358" max="4605" width="11.42578125" style="56"/>
    <col min="4606" max="4606" width="8.28515625" style="56" customWidth="1"/>
    <col min="4607" max="4608" width="12.28515625" style="56" bestFit="1" customWidth="1"/>
    <col min="4609" max="4609" width="31.28515625" style="56" bestFit="1" customWidth="1"/>
    <col min="4610" max="4610" width="11.42578125" style="56"/>
    <col min="4611" max="4611" width="8.140625" style="56" bestFit="1" customWidth="1"/>
    <col min="4612" max="4612" width="6.7109375" style="56" bestFit="1" customWidth="1"/>
    <col min="4613" max="4613" width="18.7109375" style="56" customWidth="1"/>
    <col min="4614" max="4861" width="11.42578125" style="56"/>
    <col min="4862" max="4862" width="8.28515625" style="56" customWidth="1"/>
    <col min="4863" max="4864" width="12.28515625" style="56" bestFit="1" customWidth="1"/>
    <col min="4865" max="4865" width="31.28515625" style="56" bestFit="1" customWidth="1"/>
    <col min="4866" max="4866" width="11.42578125" style="56"/>
    <col min="4867" max="4867" width="8.140625" style="56" bestFit="1" customWidth="1"/>
    <col min="4868" max="4868" width="6.7109375" style="56" bestFit="1" customWidth="1"/>
    <col min="4869" max="4869" width="18.7109375" style="56" customWidth="1"/>
    <col min="4870" max="5117" width="11.42578125" style="56"/>
    <col min="5118" max="5118" width="8.28515625" style="56" customWidth="1"/>
    <col min="5119" max="5120" width="12.28515625" style="56" bestFit="1" customWidth="1"/>
    <col min="5121" max="5121" width="31.28515625" style="56" bestFit="1" customWidth="1"/>
    <col min="5122" max="5122" width="11.42578125" style="56"/>
    <col min="5123" max="5123" width="8.140625" style="56" bestFit="1" customWidth="1"/>
    <col min="5124" max="5124" width="6.7109375" style="56" bestFit="1" customWidth="1"/>
    <col min="5125" max="5125" width="18.7109375" style="56" customWidth="1"/>
    <col min="5126" max="5373" width="11.42578125" style="56"/>
    <col min="5374" max="5374" width="8.28515625" style="56" customWidth="1"/>
    <col min="5375" max="5376" width="12.28515625" style="56" bestFit="1" customWidth="1"/>
    <col min="5377" max="5377" width="31.28515625" style="56" bestFit="1" customWidth="1"/>
    <col min="5378" max="5378" width="11.42578125" style="56"/>
    <col min="5379" max="5379" width="8.140625" style="56" bestFit="1" customWidth="1"/>
    <col min="5380" max="5380" width="6.7109375" style="56" bestFit="1" customWidth="1"/>
    <col min="5381" max="5381" width="18.7109375" style="56" customWidth="1"/>
    <col min="5382" max="5629" width="11.42578125" style="56"/>
    <col min="5630" max="5630" width="8.28515625" style="56" customWidth="1"/>
    <col min="5631" max="5632" width="12.28515625" style="56" bestFit="1" customWidth="1"/>
    <col min="5633" max="5633" width="31.28515625" style="56" bestFit="1" customWidth="1"/>
    <col min="5634" max="5634" width="11.42578125" style="56"/>
    <col min="5635" max="5635" width="8.140625" style="56" bestFit="1" customWidth="1"/>
    <col min="5636" max="5636" width="6.7109375" style="56" bestFit="1" customWidth="1"/>
    <col min="5637" max="5637" width="18.7109375" style="56" customWidth="1"/>
    <col min="5638" max="5885" width="11.42578125" style="56"/>
    <col min="5886" max="5886" width="8.28515625" style="56" customWidth="1"/>
    <col min="5887" max="5888" width="12.28515625" style="56" bestFit="1" customWidth="1"/>
    <col min="5889" max="5889" width="31.28515625" style="56" bestFit="1" customWidth="1"/>
    <col min="5890" max="5890" width="11.42578125" style="56"/>
    <col min="5891" max="5891" width="8.140625" style="56" bestFit="1" customWidth="1"/>
    <col min="5892" max="5892" width="6.7109375" style="56" bestFit="1" customWidth="1"/>
    <col min="5893" max="5893" width="18.7109375" style="56" customWidth="1"/>
    <col min="5894" max="6141" width="11.42578125" style="56"/>
    <col min="6142" max="6142" width="8.28515625" style="56" customWidth="1"/>
    <col min="6143" max="6144" width="12.28515625" style="56" bestFit="1" customWidth="1"/>
    <col min="6145" max="6145" width="31.28515625" style="56" bestFit="1" customWidth="1"/>
    <col min="6146" max="6146" width="11.42578125" style="56"/>
    <col min="6147" max="6147" width="8.140625" style="56" bestFit="1" customWidth="1"/>
    <col min="6148" max="6148" width="6.7109375" style="56" bestFit="1" customWidth="1"/>
    <col min="6149" max="6149" width="18.7109375" style="56" customWidth="1"/>
    <col min="6150" max="6397" width="11.42578125" style="56"/>
    <col min="6398" max="6398" width="8.28515625" style="56" customWidth="1"/>
    <col min="6399" max="6400" width="12.28515625" style="56" bestFit="1" customWidth="1"/>
    <col min="6401" max="6401" width="31.28515625" style="56" bestFit="1" customWidth="1"/>
    <col min="6402" max="6402" width="11.42578125" style="56"/>
    <col min="6403" max="6403" width="8.140625" style="56" bestFit="1" customWidth="1"/>
    <col min="6404" max="6404" width="6.7109375" style="56" bestFit="1" customWidth="1"/>
    <col min="6405" max="6405" width="18.7109375" style="56" customWidth="1"/>
    <col min="6406" max="6653" width="11.42578125" style="56"/>
    <col min="6654" max="6654" width="8.28515625" style="56" customWidth="1"/>
    <col min="6655" max="6656" width="12.28515625" style="56" bestFit="1" customWidth="1"/>
    <col min="6657" max="6657" width="31.28515625" style="56" bestFit="1" customWidth="1"/>
    <col min="6658" max="6658" width="11.42578125" style="56"/>
    <col min="6659" max="6659" width="8.140625" style="56" bestFit="1" customWidth="1"/>
    <col min="6660" max="6660" width="6.7109375" style="56" bestFit="1" customWidth="1"/>
    <col min="6661" max="6661" width="18.7109375" style="56" customWidth="1"/>
    <col min="6662" max="6909" width="11.42578125" style="56"/>
    <col min="6910" max="6910" width="8.28515625" style="56" customWidth="1"/>
    <col min="6911" max="6912" width="12.28515625" style="56" bestFit="1" customWidth="1"/>
    <col min="6913" max="6913" width="31.28515625" style="56" bestFit="1" customWidth="1"/>
    <col min="6914" max="6914" width="11.42578125" style="56"/>
    <col min="6915" max="6915" width="8.140625" style="56" bestFit="1" customWidth="1"/>
    <col min="6916" max="6916" width="6.7109375" style="56" bestFit="1" customWidth="1"/>
    <col min="6917" max="6917" width="18.7109375" style="56" customWidth="1"/>
    <col min="6918" max="7165" width="11.42578125" style="56"/>
    <col min="7166" max="7166" width="8.28515625" style="56" customWidth="1"/>
    <col min="7167" max="7168" width="12.28515625" style="56" bestFit="1" customWidth="1"/>
    <col min="7169" max="7169" width="31.28515625" style="56" bestFit="1" customWidth="1"/>
    <col min="7170" max="7170" width="11.42578125" style="56"/>
    <col min="7171" max="7171" width="8.140625" style="56" bestFit="1" customWidth="1"/>
    <col min="7172" max="7172" width="6.7109375" style="56" bestFit="1" customWidth="1"/>
    <col min="7173" max="7173" width="18.7109375" style="56" customWidth="1"/>
    <col min="7174" max="7421" width="11.42578125" style="56"/>
    <col min="7422" max="7422" width="8.28515625" style="56" customWidth="1"/>
    <col min="7423" max="7424" width="12.28515625" style="56" bestFit="1" customWidth="1"/>
    <col min="7425" max="7425" width="31.28515625" style="56" bestFit="1" customWidth="1"/>
    <col min="7426" max="7426" width="11.42578125" style="56"/>
    <col min="7427" max="7427" width="8.140625" style="56" bestFit="1" customWidth="1"/>
    <col min="7428" max="7428" width="6.7109375" style="56" bestFit="1" customWidth="1"/>
    <col min="7429" max="7429" width="18.7109375" style="56" customWidth="1"/>
    <col min="7430" max="7677" width="11.42578125" style="56"/>
    <col min="7678" max="7678" width="8.28515625" style="56" customWidth="1"/>
    <col min="7679" max="7680" width="12.28515625" style="56" bestFit="1" customWidth="1"/>
    <col min="7681" max="7681" width="31.28515625" style="56" bestFit="1" customWidth="1"/>
    <col min="7682" max="7682" width="11.42578125" style="56"/>
    <col min="7683" max="7683" width="8.140625" style="56" bestFit="1" customWidth="1"/>
    <col min="7684" max="7684" width="6.7109375" style="56" bestFit="1" customWidth="1"/>
    <col min="7685" max="7685" width="18.7109375" style="56" customWidth="1"/>
    <col min="7686" max="7933" width="11.42578125" style="56"/>
    <col min="7934" max="7934" width="8.28515625" style="56" customWidth="1"/>
    <col min="7935" max="7936" width="12.28515625" style="56" bestFit="1" customWidth="1"/>
    <col min="7937" max="7937" width="31.28515625" style="56" bestFit="1" customWidth="1"/>
    <col min="7938" max="7938" width="11.42578125" style="56"/>
    <col min="7939" max="7939" width="8.140625" style="56" bestFit="1" customWidth="1"/>
    <col min="7940" max="7940" width="6.7109375" style="56" bestFit="1" customWidth="1"/>
    <col min="7941" max="7941" width="18.7109375" style="56" customWidth="1"/>
    <col min="7942" max="8189" width="11.42578125" style="56"/>
    <col min="8190" max="8190" width="8.28515625" style="56" customWidth="1"/>
    <col min="8191" max="8192" width="12.28515625" style="56" bestFit="1" customWidth="1"/>
    <col min="8193" max="8193" width="31.28515625" style="56" bestFit="1" customWidth="1"/>
    <col min="8194" max="8194" width="11.42578125" style="56"/>
    <col min="8195" max="8195" width="8.140625" style="56" bestFit="1" customWidth="1"/>
    <col min="8196" max="8196" width="6.7109375" style="56" bestFit="1" customWidth="1"/>
    <col min="8197" max="8197" width="18.7109375" style="56" customWidth="1"/>
    <col min="8198" max="8445" width="11.42578125" style="56"/>
    <col min="8446" max="8446" width="8.28515625" style="56" customWidth="1"/>
    <col min="8447" max="8448" width="12.28515625" style="56" bestFit="1" customWidth="1"/>
    <col min="8449" max="8449" width="31.28515625" style="56" bestFit="1" customWidth="1"/>
    <col min="8450" max="8450" width="11.42578125" style="56"/>
    <col min="8451" max="8451" width="8.140625" style="56" bestFit="1" customWidth="1"/>
    <col min="8452" max="8452" width="6.7109375" style="56" bestFit="1" customWidth="1"/>
    <col min="8453" max="8453" width="18.7109375" style="56" customWidth="1"/>
    <col min="8454" max="8701" width="11.42578125" style="56"/>
    <col min="8702" max="8702" width="8.28515625" style="56" customWidth="1"/>
    <col min="8703" max="8704" width="12.28515625" style="56" bestFit="1" customWidth="1"/>
    <col min="8705" max="8705" width="31.28515625" style="56" bestFit="1" customWidth="1"/>
    <col min="8706" max="8706" width="11.42578125" style="56"/>
    <col min="8707" max="8707" width="8.140625" style="56" bestFit="1" customWidth="1"/>
    <col min="8708" max="8708" width="6.7109375" style="56" bestFit="1" customWidth="1"/>
    <col min="8709" max="8709" width="18.7109375" style="56" customWidth="1"/>
    <col min="8710" max="8957" width="11.42578125" style="56"/>
    <col min="8958" max="8958" width="8.28515625" style="56" customWidth="1"/>
    <col min="8959" max="8960" width="12.28515625" style="56" bestFit="1" customWidth="1"/>
    <col min="8961" max="8961" width="31.28515625" style="56" bestFit="1" customWidth="1"/>
    <col min="8962" max="8962" width="11.42578125" style="56"/>
    <col min="8963" max="8963" width="8.140625" style="56" bestFit="1" customWidth="1"/>
    <col min="8964" max="8964" width="6.7109375" style="56" bestFit="1" customWidth="1"/>
    <col min="8965" max="8965" width="18.7109375" style="56" customWidth="1"/>
    <col min="8966" max="9213" width="11.42578125" style="56"/>
    <col min="9214" max="9214" width="8.28515625" style="56" customWidth="1"/>
    <col min="9215" max="9216" width="12.28515625" style="56" bestFit="1" customWidth="1"/>
    <col min="9217" max="9217" width="31.28515625" style="56" bestFit="1" customWidth="1"/>
    <col min="9218" max="9218" width="11.42578125" style="56"/>
    <col min="9219" max="9219" width="8.140625" style="56" bestFit="1" customWidth="1"/>
    <col min="9220" max="9220" width="6.7109375" style="56" bestFit="1" customWidth="1"/>
    <col min="9221" max="9221" width="18.7109375" style="56" customWidth="1"/>
    <col min="9222" max="9469" width="11.42578125" style="56"/>
    <col min="9470" max="9470" width="8.28515625" style="56" customWidth="1"/>
    <col min="9471" max="9472" width="12.28515625" style="56" bestFit="1" customWidth="1"/>
    <col min="9473" max="9473" width="31.28515625" style="56" bestFit="1" customWidth="1"/>
    <col min="9474" max="9474" width="11.42578125" style="56"/>
    <col min="9475" max="9475" width="8.140625" style="56" bestFit="1" customWidth="1"/>
    <col min="9476" max="9476" width="6.7109375" style="56" bestFit="1" customWidth="1"/>
    <col min="9477" max="9477" width="18.7109375" style="56" customWidth="1"/>
    <col min="9478" max="9725" width="11.42578125" style="56"/>
    <col min="9726" max="9726" width="8.28515625" style="56" customWidth="1"/>
    <col min="9727" max="9728" width="12.28515625" style="56" bestFit="1" customWidth="1"/>
    <col min="9729" max="9729" width="31.28515625" style="56" bestFit="1" customWidth="1"/>
    <col min="9730" max="9730" width="11.42578125" style="56"/>
    <col min="9731" max="9731" width="8.140625" style="56" bestFit="1" customWidth="1"/>
    <col min="9732" max="9732" width="6.7109375" style="56" bestFit="1" customWidth="1"/>
    <col min="9733" max="9733" width="18.7109375" style="56" customWidth="1"/>
    <col min="9734" max="9981" width="11.42578125" style="56"/>
    <col min="9982" max="9982" width="8.28515625" style="56" customWidth="1"/>
    <col min="9983" max="9984" width="12.28515625" style="56" bestFit="1" customWidth="1"/>
    <col min="9985" max="9985" width="31.28515625" style="56" bestFit="1" customWidth="1"/>
    <col min="9986" max="9986" width="11.42578125" style="56"/>
    <col min="9987" max="9987" width="8.140625" style="56" bestFit="1" customWidth="1"/>
    <col min="9988" max="9988" width="6.7109375" style="56" bestFit="1" customWidth="1"/>
    <col min="9989" max="9989" width="18.7109375" style="56" customWidth="1"/>
    <col min="9990" max="10237" width="11.42578125" style="56"/>
    <col min="10238" max="10238" width="8.28515625" style="56" customWidth="1"/>
    <col min="10239" max="10240" width="12.28515625" style="56" bestFit="1" customWidth="1"/>
    <col min="10241" max="10241" width="31.28515625" style="56" bestFit="1" customWidth="1"/>
    <col min="10242" max="10242" width="11.42578125" style="56"/>
    <col min="10243" max="10243" width="8.140625" style="56" bestFit="1" customWidth="1"/>
    <col min="10244" max="10244" width="6.7109375" style="56" bestFit="1" customWidth="1"/>
    <col min="10245" max="10245" width="18.7109375" style="56" customWidth="1"/>
    <col min="10246" max="10493" width="11.42578125" style="56"/>
    <col min="10494" max="10494" width="8.28515625" style="56" customWidth="1"/>
    <col min="10495" max="10496" width="12.28515625" style="56" bestFit="1" customWidth="1"/>
    <col min="10497" max="10497" width="31.28515625" style="56" bestFit="1" customWidth="1"/>
    <col min="10498" max="10498" width="11.42578125" style="56"/>
    <col min="10499" max="10499" width="8.140625" style="56" bestFit="1" customWidth="1"/>
    <col min="10500" max="10500" width="6.7109375" style="56" bestFit="1" customWidth="1"/>
    <col min="10501" max="10501" width="18.7109375" style="56" customWidth="1"/>
    <col min="10502" max="10749" width="11.42578125" style="56"/>
    <col min="10750" max="10750" width="8.28515625" style="56" customWidth="1"/>
    <col min="10751" max="10752" width="12.28515625" style="56" bestFit="1" customWidth="1"/>
    <col min="10753" max="10753" width="31.28515625" style="56" bestFit="1" customWidth="1"/>
    <col min="10754" max="10754" width="11.42578125" style="56"/>
    <col min="10755" max="10755" width="8.140625" style="56" bestFit="1" customWidth="1"/>
    <col min="10756" max="10756" width="6.7109375" style="56" bestFit="1" customWidth="1"/>
    <col min="10757" max="10757" width="18.7109375" style="56" customWidth="1"/>
    <col min="10758" max="11005" width="11.42578125" style="56"/>
    <col min="11006" max="11006" width="8.28515625" style="56" customWidth="1"/>
    <col min="11007" max="11008" width="12.28515625" style="56" bestFit="1" customWidth="1"/>
    <col min="11009" max="11009" width="31.28515625" style="56" bestFit="1" customWidth="1"/>
    <col min="11010" max="11010" width="11.42578125" style="56"/>
    <col min="11011" max="11011" width="8.140625" style="56" bestFit="1" customWidth="1"/>
    <col min="11012" max="11012" width="6.7109375" style="56" bestFit="1" customWidth="1"/>
    <col min="11013" max="11013" width="18.7109375" style="56" customWidth="1"/>
    <col min="11014" max="11261" width="11.42578125" style="56"/>
    <col min="11262" max="11262" width="8.28515625" style="56" customWidth="1"/>
    <col min="11263" max="11264" width="12.28515625" style="56" bestFit="1" customWidth="1"/>
    <col min="11265" max="11265" width="31.28515625" style="56" bestFit="1" customWidth="1"/>
    <col min="11266" max="11266" width="11.42578125" style="56"/>
    <col min="11267" max="11267" width="8.140625" style="56" bestFit="1" customWidth="1"/>
    <col min="11268" max="11268" width="6.7109375" style="56" bestFit="1" customWidth="1"/>
    <col min="11269" max="11269" width="18.7109375" style="56" customWidth="1"/>
    <col min="11270" max="11517" width="11.42578125" style="56"/>
    <col min="11518" max="11518" width="8.28515625" style="56" customWidth="1"/>
    <col min="11519" max="11520" width="12.28515625" style="56" bestFit="1" customWidth="1"/>
    <col min="11521" max="11521" width="31.28515625" style="56" bestFit="1" customWidth="1"/>
    <col min="11522" max="11522" width="11.42578125" style="56"/>
    <col min="11523" max="11523" width="8.140625" style="56" bestFit="1" customWidth="1"/>
    <col min="11524" max="11524" width="6.7109375" style="56" bestFit="1" customWidth="1"/>
    <col min="11525" max="11525" width="18.7109375" style="56" customWidth="1"/>
    <col min="11526" max="11773" width="11.42578125" style="56"/>
    <col min="11774" max="11774" width="8.28515625" style="56" customWidth="1"/>
    <col min="11775" max="11776" width="12.28515625" style="56" bestFit="1" customWidth="1"/>
    <col min="11777" max="11777" width="31.28515625" style="56" bestFit="1" customWidth="1"/>
    <col min="11778" max="11778" width="11.42578125" style="56"/>
    <col min="11779" max="11779" width="8.140625" style="56" bestFit="1" customWidth="1"/>
    <col min="11780" max="11780" width="6.7109375" style="56" bestFit="1" customWidth="1"/>
    <col min="11781" max="11781" width="18.7109375" style="56" customWidth="1"/>
    <col min="11782" max="12029" width="11.42578125" style="56"/>
    <col min="12030" max="12030" width="8.28515625" style="56" customWidth="1"/>
    <col min="12031" max="12032" width="12.28515625" style="56" bestFit="1" customWidth="1"/>
    <col min="12033" max="12033" width="31.28515625" style="56" bestFit="1" customWidth="1"/>
    <col min="12034" max="12034" width="11.42578125" style="56"/>
    <col min="12035" max="12035" width="8.140625" style="56" bestFit="1" customWidth="1"/>
    <col min="12036" max="12036" width="6.7109375" style="56" bestFit="1" customWidth="1"/>
    <col min="12037" max="12037" width="18.7109375" style="56" customWidth="1"/>
    <col min="12038" max="12285" width="11.42578125" style="56"/>
    <col min="12286" max="12286" width="8.28515625" style="56" customWidth="1"/>
    <col min="12287" max="12288" width="12.28515625" style="56" bestFit="1" customWidth="1"/>
    <col min="12289" max="12289" width="31.28515625" style="56" bestFit="1" customWidth="1"/>
    <col min="12290" max="12290" width="11.42578125" style="56"/>
    <col min="12291" max="12291" width="8.140625" style="56" bestFit="1" customWidth="1"/>
    <col min="12292" max="12292" width="6.7109375" style="56" bestFit="1" customWidth="1"/>
    <col min="12293" max="12293" width="18.7109375" style="56" customWidth="1"/>
    <col min="12294" max="12541" width="11.42578125" style="56"/>
    <col min="12542" max="12542" width="8.28515625" style="56" customWidth="1"/>
    <col min="12543" max="12544" width="12.28515625" style="56" bestFit="1" customWidth="1"/>
    <col min="12545" max="12545" width="31.28515625" style="56" bestFit="1" customWidth="1"/>
    <col min="12546" max="12546" width="11.42578125" style="56"/>
    <col min="12547" max="12547" width="8.140625" style="56" bestFit="1" customWidth="1"/>
    <col min="12548" max="12548" width="6.7109375" style="56" bestFit="1" customWidth="1"/>
    <col min="12549" max="12549" width="18.7109375" style="56" customWidth="1"/>
    <col min="12550" max="12797" width="11.42578125" style="56"/>
    <col min="12798" max="12798" width="8.28515625" style="56" customWidth="1"/>
    <col min="12799" max="12800" width="12.28515625" style="56" bestFit="1" customWidth="1"/>
    <col min="12801" max="12801" width="31.28515625" style="56" bestFit="1" customWidth="1"/>
    <col min="12802" max="12802" width="11.42578125" style="56"/>
    <col min="12803" max="12803" width="8.140625" style="56" bestFit="1" customWidth="1"/>
    <col min="12804" max="12804" width="6.7109375" style="56" bestFit="1" customWidth="1"/>
    <col min="12805" max="12805" width="18.7109375" style="56" customWidth="1"/>
    <col min="12806" max="13053" width="11.42578125" style="56"/>
    <col min="13054" max="13054" width="8.28515625" style="56" customWidth="1"/>
    <col min="13055" max="13056" width="12.28515625" style="56" bestFit="1" customWidth="1"/>
    <col min="13057" max="13057" width="31.28515625" style="56" bestFit="1" customWidth="1"/>
    <col min="13058" max="13058" width="11.42578125" style="56"/>
    <col min="13059" max="13059" width="8.140625" style="56" bestFit="1" customWidth="1"/>
    <col min="13060" max="13060" width="6.7109375" style="56" bestFit="1" customWidth="1"/>
    <col min="13061" max="13061" width="18.7109375" style="56" customWidth="1"/>
    <col min="13062" max="13309" width="11.42578125" style="56"/>
    <col min="13310" max="13310" width="8.28515625" style="56" customWidth="1"/>
    <col min="13311" max="13312" width="12.28515625" style="56" bestFit="1" customWidth="1"/>
    <col min="13313" max="13313" width="31.28515625" style="56" bestFit="1" customWidth="1"/>
    <col min="13314" max="13314" width="11.42578125" style="56"/>
    <col min="13315" max="13315" width="8.140625" style="56" bestFit="1" customWidth="1"/>
    <col min="13316" max="13316" width="6.7109375" style="56" bestFit="1" customWidth="1"/>
    <col min="13317" max="13317" width="18.7109375" style="56" customWidth="1"/>
    <col min="13318" max="13565" width="11.42578125" style="56"/>
    <col min="13566" max="13566" width="8.28515625" style="56" customWidth="1"/>
    <col min="13567" max="13568" width="12.28515625" style="56" bestFit="1" customWidth="1"/>
    <col min="13569" max="13569" width="31.28515625" style="56" bestFit="1" customWidth="1"/>
    <col min="13570" max="13570" width="11.42578125" style="56"/>
    <col min="13571" max="13571" width="8.140625" style="56" bestFit="1" customWidth="1"/>
    <col min="13572" max="13572" width="6.7109375" style="56" bestFit="1" customWidth="1"/>
    <col min="13573" max="13573" width="18.7109375" style="56" customWidth="1"/>
    <col min="13574" max="13821" width="11.42578125" style="56"/>
    <col min="13822" max="13822" width="8.28515625" style="56" customWidth="1"/>
    <col min="13823" max="13824" width="12.28515625" style="56" bestFit="1" customWidth="1"/>
    <col min="13825" max="13825" width="31.28515625" style="56" bestFit="1" customWidth="1"/>
    <col min="13826" max="13826" width="11.42578125" style="56"/>
    <col min="13827" max="13827" width="8.140625" style="56" bestFit="1" customWidth="1"/>
    <col min="13828" max="13828" width="6.7109375" style="56" bestFit="1" customWidth="1"/>
    <col min="13829" max="13829" width="18.7109375" style="56" customWidth="1"/>
    <col min="13830" max="14077" width="11.42578125" style="56"/>
    <col min="14078" max="14078" width="8.28515625" style="56" customWidth="1"/>
    <col min="14079" max="14080" width="12.28515625" style="56" bestFit="1" customWidth="1"/>
    <col min="14081" max="14081" width="31.28515625" style="56" bestFit="1" customWidth="1"/>
    <col min="14082" max="14082" width="11.42578125" style="56"/>
    <col min="14083" max="14083" width="8.140625" style="56" bestFit="1" customWidth="1"/>
    <col min="14084" max="14084" width="6.7109375" style="56" bestFit="1" customWidth="1"/>
    <col min="14085" max="14085" width="18.7109375" style="56" customWidth="1"/>
    <col min="14086" max="14333" width="11.42578125" style="56"/>
    <col min="14334" max="14334" width="8.28515625" style="56" customWidth="1"/>
    <col min="14335" max="14336" width="12.28515625" style="56" bestFit="1" customWidth="1"/>
    <col min="14337" max="14337" width="31.28515625" style="56" bestFit="1" customWidth="1"/>
    <col min="14338" max="14338" width="11.42578125" style="56"/>
    <col min="14339" max="14339" width="8.140625" style="56" bestFit="1" customWidth="1"/>
    <col min="14340" max="14340" width="6.7109375" style="56" bestFit="1" customWidth="1"/>
    <col min="14341" max="14341" width="18.7109375" style="56" customWidth="1"/>
    <col min="14342" max="14589" width="11.42578125" style="56"/>
    <col min="14590" max="14590" width="8.28515625" style="56" customWidth="1"/>
    <col min="14591" max="14592" width="12.28515625" style="56" bestFit="1" customWidth="1"/>
    <col min="14593" max="14593" width="31.28515625" style="56" bestFit="1" customWidth="1"/>
    <col min="14594" max="14594" width="11.42578125" style="56"/>
    <col min="14595" max="14595" width="8.140625" style="56" bestFit="1" customWidth="1"/>
    <col min="14596" max="14596" width="6.7109375" style="56" bestFit="1" customWidth="1"/>
    <col min="14597" max="14597" width="18.7109375" style="56" customWidth="1"/>
    <col min="14598" max="14845" width="11.42578125" style="56"/>
    <col min="14846" max="14846" width="8.28515625" style="56" customWidth="1"/>
    <col min="14847" max="14848" width="12.28515625" style="56" bestFit="1" customWidth="1"/>
    <col min="14849" max="14849" width="31.28515625" style="56" bestFit="1" customWidth="1"/>
    <col min="14850" max="14850" width="11.42578125" style="56"/>
    <col min="14851" max="14851" width="8.140625" style="56" bestFit="1" customWidth="1"/>
    <col min="14852" max="14852" width="6.7109375" style="56" bestFit="1" customWidth="1"/>
    <col min="14853" max="14853" width="18.7109375" style="56" customWidth="1"/>
    <col min="14854" max="15101" width="11.42578125" style="56"/>
    <col min="15102" max="15102" width="8.28515625" style="56" customWidth="1"/>
    <col min="15103" max="15104" width="12.28515625" style="56" bestFit="1" customWidth="1"/>
    <col min="15105" max="15105" width="31.28515625" style="56" bestFit="1" customWidth="1"/>
    <col min="15106" max="15106" width="11.42578125" style="56"/>
    <col min="15107" max="15107" width="8.140625" style="56" bestFit="1" customWidth="1"/>
    <col min="15108" max="15108" width="6.7109375" style="56" bestFit="1" customWidth="1"/>
    <col min="15109" max="15109" width="18.7109375" style="56" customWidth="1"/>
    <col min="15110" max="15357" width="11.42578125" style="56"/>
    <col min="15358" max="15358" width="8.28515625" style="56" customWidth="1"/>
    <col min="15359" max="15360" width="12.28515625" style="56" bestFit="1" customWidth="1"/>
    <col min="15361" max="15361" width="31.28515625" style="56" bestFit="1" customWidth="1"/>
    <col min="15362" max="15362" width="11.42578125" style="56"/>
    <col min="15363" max="15363" width="8.140625" style="56" bestFit="1" customWidth="1"/>
    <col min="15364" max="15364" width="6.7109375" style="56" bestFit="1" customWidth="1"/>
    <col min="15365" max="15365" width="18.7109375" style="56" customWidth="1"/>
    <col min="15366" max="15613" width="11.42578125" style="56"/>
    <col min="15614" max="15614" width="8.28515625" style="56" customWidth="1"/>
    <col min="15615" max="15616" width="12.28515625" style="56" bestFit="1" customWidth="1"/>
    <col min="15617" max="15617" width="31.28515625" style="56" bestFit="1" customWidth="1"/>
    <col min="15618" max="15618" width="11.42578125" style="56"/>
    <col min="15619" max="15619" width="8.140625" style="56" bestFit="1" customWidth="1"/>
    <col min="15620" max="15620" width="6.7109375" style="56" bestFit="1" customWidth="1"/>
    <col min="15621" max="15621" width="18.7109375" style="56" customWidth="1"/>
    <col min="15622" max="15869" width="11.42578125" style="56"/>
    <col min="15870" max="15870" width="8.28515625" style="56" customWidth="1"/>
    <col min="15871" max="15872" width="12.28515625" style="56" bestFit="1" customWidth="1"/>
    <col min="15873" max="15873" width="31.28515625" style="56" bestFit="1" customWidth="1"/>
    <col min="15874" max="15874" width="11.42578125" style="56"/>
    <col min="15875" max="15875" width="8.140625" style="56" bestFit="1" customWidth="1"/>
    <col min="15876" max="15876" width="6.7109375" style="56" bestFit="1" customWidth="1"/>
    <col min="15877" max="15877" width="18.7109375" style="56" customWidth="1"/>
    <col min="15878" max="16125" width="11.42578125" style="56"/>
    <col min="16126" max="16126" width="8.28515625" style="56" customWidth="1"/>
    <col min="16127" max="16128" width="12.28515625" style="56" bestFit="1" customWidth="1"/>
    <col min="16129" max="16129" width="31.28515625" style="56" bestFit="1" customWidth="1"/>
    <col min="16130" max="16130" width="11.42578125" style="56"/>
    <col min="16131" max="16131" width="8.140625" style="56" bestFit="1" customWidth="1"/>
    <col min="16132" max="16132" width="6.7109375" style="56" bestFit="1" customWidth="1"/>
    <col min="16133" max="16133" width="18.7109375" style="56" customWidth="1"/>
    <col min="16134" max="16384" width="11.42578125" style="56"/>
  </cols>
  <sheetData>
    <row r="1" spans="1:15" ht="21" customHeight="1" thickBot="1" x14ac:dyDescent="0.25">
      <c r="A1" s="231"/>
      <c r="B1" s="229" t="s">
        <v>222</v>
      </c>
      <c r="C1" s="230"/>
      <c r="D1" s="230"/>
      <c r="E1" s="230"/>
      <c r="F1" s="230"/>
      <c r="G1" s="230"/>
      <c r="H1" s="230"/>
      <c r="I1" s="153"/>
      <c r="J1" s="154"/>
      <c r="K1" s="154"/>
      <c r="L1" s="153"/>
      <c r="M1" s="154"/>
      <c r="N1" s="154"/>
      <c r="O1" s="155"/>
    </row>
    <row r="2" spans="1:15" ht="30.75" customHeight="1" thickBot="1" x14ac:dyDescent="0.3">
      <c r="A2" s="232"/>
      <c r="B2" s="233" t="s">
        <v>185</v>
      </c>
      <c r="C2" s="234"/>
      <c r="D2" s="235"/>
      <c r="E2" s="240" t="s">
        <v>93</v>
      </c>
      <c r="F2" s="241"/>
      <c r="G2" s="241"/>
      <c r="H2" s="241"/>
      <c r="I2" s="156"/>
      <c r="J2" s="152"/>
      <c r="K2" s="152"/>
      <c r="L2" s="156"/>
      <c r="M2" s="152"/>
      <c r="N2" s="152"/>
      <c r="O2" s="157"/>
    </row>
    <row r="3" spans="1:15" ht="15.75" customHeight="1" x14ac:dyDescent="0.2">
      <c r="A3" s="58" t="s">
        <v>0</v>
      </c>
      <c r="B3" s="59" t="s">
        <v>15</v>
      </c>
      <c r="C3" s="61">
        <v>0</v>
      </c>
      <c r="D3" s="137" t="s">
        <v>187</v>
      </c>
      <c r="E3" s="243" t="s">
        <v>132</v>
      </c>
      <c r="F3" s="244"/>
      <c r="G3" s="49" t="s">
        <v>66</v>
      </c>
      <c r="H3" s="140"/>
      <c r="I3" s="139"/>
      <c r="J3" s="140"/>
      <c r="K3" s="140"/>
      <c r="L3" s="139"/>
      <c r="M3" s="140"/>
      <c r="N3" s="140"/>
      <c r="O3" s="141"/>
    </row>
    <row r="4" spans="1:15" ht="15.75" customHeight="1" x14ac:dyDescent="0.2">
      <c r="A4" s="58" t="s">
        <v>1</v>
      </c>
      <c r="B4" s="59" t="s">
        <v>15</v>
      </c>
      <c r="C4" s="158">
        <v>0</v>
      </c>
      <c r="D4" s="137" t="s">
        <v>188</v>
      </c>
      <c r="E4" s="58" t="s">
        <v>32</v>
      </c>
      <c r="F4" s="59" t="s">
        <v>41</v>
      </c>
      <c r="G4" s="49">
        <v>206000</v>
      </c>
      <c r="H4" s="50" t="s">
        <v>97</v>
      </c>
      <c r="I4" s="139"/>
      <c r="J4" s="140"/>
      <c r="K4" s="140"/>
      <c r="L4" s="139"/>
      <c r="M4" s="140"/>
      <c r="N4" s="140"/>
      <c r="O4" s="141"/>
    </row>
    <row r="5" spans="1:15" ht="15.75" customHeight="1" x14ac:dyDescent="0.2">
      <c r="A5" s="58" t="s">
        <v>2</v>
      </c>
      <c r="B5" s="59" t="s">
        <v>15</v>
      </c>
      <c r="C5" s="61">
        <v>0</v>
      </c>
      <c r="D5" s="137" t="s">
        <v>194</v>
      </c>
      <c r="E5" s="58" t="s">
        <v>30</v>
      </c>
      <c r="F5" s="59" t="s">
        <v>41</v>
      </c>
      <c r="G5" s="49">
        <v>81500</v>
      </c>
      <c r="H5" s="50" t="s">
        <v>98</v>
      </c>
      <c r="I5" s="139"/>
      <c r="J5" s="140"/>
      <c r="K5" s="140"/>
      <c r="L5" s="139"/>
      <c r="M5" s="140"/>
      <c r="N5" s="140"/>
      <c r="O5" s="141"/>
    </row>
    <row r="6" spans="1:15" ht="15.75" customHeight="1" x14ac:dyDescent="0.2">
      <c r="A6" s="58" t="s">
        <v>11</v>
      </c>
      <c r="B6" s="59" t="s">
        <v>15</v>
      </c>
      <c r="C6" s="61">
        <v>0</v>
      </c>
      <c r="D6" s="137" t="s">
        <v>186</v>
      </c>
      <c r="E6" s="58" t="s">
        <v>31</v>
      </c>
      <c r="F6" s="59" t="s">
        <v>41</v>
      </c>
      <c r="G6" s="49">
        <v>950</v>
      </c>
      <c r="H6" s="50" t="s">
        <v>99</v>
      </c>
      <c r="I6" s="139"/>
      <c r="J6" s="140"/>
      <c r="K6" s="140"/>
      <c r="L6" s="139"/>
      <c r="M6" s="140"/>
      <c r="N6" s="140"/>
      <c r="O6" s="141"/>
    </row>
    <row r="7" spans="1:15" ht="15.75" customHeight="1" x14ac:dyDescent="0.2">
      <c r="A7" s="136" t="s">
        <v>131</v>
      </c>
      <c r="B7" s="59"/>
      <c r="C7" s="253" t="s">
        <v>215</v>
      </c>
      <c r="D7" s="209"/>
      <c r="E7" s="48" t="s">
        <v>70</v>
      </c>
      <c r="F7" s="49" t="s">
        <v>41</v>
      </c>
      <c r="G7" s="49">
        <v>1900</v>
      </c>
      <c r="H7" s="50" t="s">
        <v>202</v>
      </c>
      <c r="I7" s="139"/>
      <c r="J7" s="140"/>
      <c r="K7" s="140"/>
      <c r="L7" s="139"/>
      <c r="M7" s="140"/>
      <c r="N7" s="140"/>
      <c r="O7" s="141"/>
    </row>
    <row r="8" spans="1:15" ht="15.75" customHeight="1" x14ac:dyDescent="0.2">
      <c r="A8" s="58" t="s">
        <v>19</v>
      </c>
      <c r="B8" s="59"/>
      <c r="C8" s="62">
        <v>0</v>
      </c>
      <c r="D8" s="137" t="s">
        <v>211</v>
      </c>
      <c r="E8" s="48"/>
      <c r="F8" s="49"/>
      <c r="G8" s="49"/>
      <c r="H8" s="27"/>
      <c r="I8" s="139"/>
      <c r="J8" s="140"/>
      <c r="K8" s="140"/>
      <c r="L8" s="139"/>
      <c r="M8" s="140"/>
      <c r="N8" s="140"/>
      <c r="O8" s="141"/>
    </row>
    <row r="9" spans="1:15" ht="15.75" customHeight="1" x14ac:dyDescent="0.2">
      <c r="A9" s="58" t="s">
        <v>18</v>
      </c>
      <c r="B9" s="59"/>
      <c r="C9" s="63">
        <v>0</v>
      </c>
      <c r="D9" s="137" t="s">
        <v>212</v>
      </c>
      <c r="E9" s="58"/>
      <c r="F9" s="59" t="b">
        <v>0</v>
      </c>
      <c r="G9" s="59"/>
      <c r="H9" s="140"/>
      <c r="I9" s="139"/>
      <c r="J9" s="140"/>
      <c r="K9" s="140"/>
      <c r="L9" s="139"/>
      <c r="M9" s="140"/>
      <c r="N9" s="140"/>
      <c r="O9" s="141"/>
    </row>
    <row r="10" spans="1:15" ht="15.75" customHeight="1" thickBot="1" x14ac:dyDescent="0.25">
      <c r="A10" s="236" t="s">
        <v>200</v>
      </c>
      <c r="B10" s="237"/>
      <c r="C10" s="238"/>
      <c r="D10" s="239"/>
      <c r="E10" s="69"/>
      <c r="F10" s="70"/>
      <c r="G10" s="70"/>
      <c r="H10" s="143"/>
      <c r="I10" s="139"/>
      <c r="J10" s="140"/>
      <c r="K10" s="140"/>
      <c r="L10" s="139"/>
      <c r="M10" s="140"/>
      <c r="N10" s="140"/>
      <c r="O10" s="141"/>
    </row>
    <row r="11" spans="1:15" ht="27.75" customHeight="1" x14ac:dyDescent="0.25">
      <c r="A11" s="240" t="s">
        <v>223</v>
      </c>
      <c r="B11" s="241"/>
      <c r="C11" s="241"/>
      <c r="D11" s="245"/>
      <c r="E11" s="240" t="s">
        <v>96</v>
      </c>
      <c r="F11" s="241"/>
      <c r="G11" s="242"/>
      <c r="H11" s="241"/>
      <c r="I11" s="139"/>
      <c r="J11" s="140"/>
      <c r="K11" s="140"/>
      <c r="L11" s="139"/>
      <c r="M11" s="140"/>
      <c r="N11" s="140"/>
      <c r="O11" s="141"/>
    </row>
    <row r="12" spans="1:15" ht="15" customHeight="1" thickBot="1" x14ac:dyDescent="0.25">
      <c r="A12" s="58" t="s">
        <v>21</v>
      </c>
      <c r="B12" s="59"/>
      <c r="C12" s="64">
        <v>0</v>
      </c>
      <c r="D12" s="60" t="s">
        <v>192</v>
      </c>
      <c r="E12" s="58"/>
      <c r="F12" s="59"/>
      <c r="G12" s="59"/>
      <c r="H12" s="140"/>
      <c r="I12" s="142"/>
      <c r="J12" s="143"/>
      <c r="K12" s="143"/>
      <c r="L12" s="142"/>
      <c r="M12" s="143"/>
      <c r="N12" s="143"/>
      <c r="O12" s="144"/>
    </row>
    <row r="13" spans="1:15" ht="15" customHeight="1" x14ac:dyDescent="0.25">
      <c r="A13" s="58" t="s">
        <v>3</v>
      </c>
      <c r="B13" s="59" t="s">
        <v>15</v>
      </c>
      <c r="C13" s="64">
        <v>0</v>
      </c>
      <c r="D13" s="60" t="s">
        <v>190</v>
      </c>
      <c r="E13" s="58" t="s">
        <v>4</v>
      </c>
      <c r="F13" s="59" t="s">
        <v>15</v>
      </c>
      <c r="G13" s="64">
        <v>0</v>
      </c>
      <c r="H13" s="137" t="s">
        <v>203</v>
      </c>
      <c r="I13" s="200" t="s">
        <v>140</v>
      </c>
      <c r="J13" s="201"/>
      <c r="K13" s="201"/>
      <c r="L13" s="201"/>
      <c r="M13" s="201"/>
      <c r="N13" s="201"/>
      <c r="O13" s="261"/>
    </row>
    <row r="14" spans="1:15" ht="15" customHeight="1" x14ac:dyDescent="0.2">
      <c r="A14" s="58" t="s">
        <v>134</v>
      </c>
      <c r="B14" s="59" t="s">
        <v>15</v>
      </c>
      <c r="C14" s="64">
        <v>0</v>
      </c>
      <c r="D14" s="60" t="s">
        <v>221</v>
      </c>
      <c r="E14" s="58" t="s">
        <v>6</v>
      </c>
      <c r="F14" s="59" t="s">
        <v>44</v>
      </c>
      <c r="G14" s="64">
        <v>0</v>
      </c>
      <c r="H14" s="137" t="s">
        <v>205</v>
      </c>
      <c r="I14" s="151" t="s">
        <v>210</v>
      </c>
      <c r="J14" s="28"/>
      <c r="K14" s="258">
        <v>1000000</v>
      </c>
      <c r="L14" s="258"/>
      <c r="M14" s="140"/>
      <c r="N14" s="140"/>
      <c r="O14" s="141"/>
    </row>
    <row r="15" spans="1:15" ht="15" customHeight="1" x14ac:dyDescent="0.2">
      <c r="A15" s="159" t="s">
        <v>135</v>
      </c>
      <c r="B15" s="63" t="s">
        <v>136</v>
      </c>
      <c r="C15" s="64">
        <v>0</v>
      </c>
      <c r="D15" s="145" t="s">
        <v>233</v>
      </c>
      <c r="E15" s="58" t="s">
        <v>12</v>
      </c>
      <c r="F15" s="59" t="s">
        <v>15</v>
      </c>
      <c r="G15" s="64">
        <v>0</v>
      </c>
      <c r="H15" s="138" t="s">
        <v>206</v>
      </c>
      <c r="I15" s="139"/>
      <c r="J15" s="140"/>
      <c r="K15" s="140"/>
      <c r="L15" s="140"/>
      <c r="M15" s="140"/>
      <c r="N15" s="140"/>
      <c r="O15" s="141"/>
    </row>
    <row r="16" spans="1:15" ht="15" customHeight="1" thickBot="1" x14ac:dyDescent="0.25">
      <c r="A16" s="246" t="s">
        <v>225</v>
      </c>
      <c r="B16" s="247"/>
      <c r="C16" s="248" t="s">
        <v>234</v>
      </c>
      <c r="D16" s="249"/>
      <c r="E16" s="67" t="s">
        <v>138</v>
      </c>
      <c r="F16" s="59" t="s">
        <v>41</v>
      </c>
      <c r="G16" s="63">
        <v>0</v>
      </c>
      <c r="H16" s="50" t="s">
        <v>213</v>
      </c>
      <c r="I16" s="139"/>
      <c r="J16" s="140"/>
      <c r="K16" s="140"/>
      <c r="L16" s="140"/>
      <c r="M16" s="140"/>
      <c r="N16" s="140"/>
      <c r="O16" s="141"/>
    </row>
    <row r="17" spans="1:15" ht="15" customHeight="1" x14ac:dyDescent="0.25">
      <c r="A17" s="250" t="s">
        <v>224</v>
      </c>
      <c r="B17" s="251"/>
      <c r="C17" s="251"/>
      <c r="D17" s="252"/>
      <c r="E17" s="150" t="s">
        <v>131</v>
      </c>
      <c r="F17" s="259"/>
      <c r="G17" s="260"/>
      <c r="H17" s="260"/>
      <c r="I17" s="139"/>
      <c r="J17" s="140"/>
      <c r="K17" s="140"/>
      <c r="L17" s="140"/>
      <c r="M17" s="140"/>
      <c r="N17" s="140"/>
      <c r="O17" s="141"/>
    </row>
    <row r="18" spans="1:15" ht="15" customHeight="1" x14ac:dyDescent="0.25">
      <c r="A18" s="58" t="s">
        <v>9</v>
      </c>
      <c r="B18" s="59" t="s">
        <v>42</v>
      </c>
      <c r="C18" s="63">
        <v>0</v>
      </c>
      <c r="D18" s="137" t="s">
        <v>193</v>
      </c>
      <c r="E18" s="254"/>
      <c r="F18" s="255"/>
      <c r="G18" s="256"/>
      <c r="H18" s="255"/>
      <c r="I18" s="139"/>
      <c r="J18" s="140"/>
      <c r="K18" s="140"/>
      <c r="L18" s="140"/>
      <c r="M18" s="140"/>
      <c r="N18" s="140"/>
      <c r="O18" s="141"/>
    </row>
    <row r="19" spans="1:15" ht="15" customHeight="1" x14ac:dyDescent="0.2">
      <c r="A19" s="67" t="s">
        <v>10</v>
      </c>
      <c r="B19" s="59" t="s">
        <v>43</v>
      </c>
      <c r="C19" s="63">
        <v>0</v>
      </c>
      <c r="D19" s="50" t="s">
        <v>226</v>
      </c>
      <c r="E19" s="68" t="s">
        <v>37</v>
      </c>
      <c r="F19" s="59" t="s">
        <v>15</v>
      </c>
      <c r="G19" s="64">
        <v>0</v>
      </c>
      <c r="H19" s="137" t="s">
        <v>207</v>
      </c>
      <c r="I19" s="139"/>
      <c r="J19" s="140"/>
      <c r="K19" s="140"/>
      <c r="L19" s="140"/>
      <c r="M19" s="140"/>
      <c r="N19" s="140"/>
      <c r="O19" s="141"/>
    </row>
    <row r="20" spans="1:15" ht="15" customHeight="1" x14ac:dyDescent="0.2">
      <c r="A20" s="58" t="s">
        <v>137</v>
      </c>
      <c r="B20" s="59" t="s">
        <v>44</v>
      </c>
      <c r="C20" s="63">
        <v>7.84513457981725</v>
      </c>
      <c r="D20" s="60" t="s">
        <v>227</v>
      </c>
      <c r="E20" s="68" t="s">
        <v>38</v>
      </c>
      <c r="F20" s="59" t="s">
        <v>44</v>
      </c>
      <c r="G20" s="64">
        <v>0</v>
      </c>
      <c r="H20" s="137" t="s">
        <v>208</v>
      </c>
      <c r="I20" s="139"/>
      <c r="J20" s="140"/>
      <c r="K20" s="140"/>
      <c r="L20" s="140"/>
      <c r="M20" s="140"/>
      <c r="N20" s="140"/>
      <c r="O20" s="141"/>
    </row>
    <row r="21" spans="1:15" ht="15" customHeight="1" x14ac:dyDescent="0.2">
      <c r="A21" s="58" t="s">
        <v>139</v>
      </c>
      <c r="B21" s="59" t="s">
        <v>15</v>
      </c>
      <c r="C21" s="63">
        <v>0</v>
      </c>
      <c r="D21" s="60" t="s">
        <v>228</v>
      </c>
      <c r="E21" s="68" t="s">
        <v>39</v>
      </c>
      <c r="F21" s="59" t="s">
        <v>15</v>
      </c>
      <c r="G21" s="64">
        <v>0</v>
      </c>
      <c r="H21" s="138" t="s">
        <v>209</v>
      </c>
      <c r="I21" s="139"/>
      <c r="J21" s="140"/>
      <c r="K21" s="140"/>
      <c r="L21" s="140"/>
      <c r="M21" s="140"/>
      <c r="N21" s="140"/>
      <c r="O21" s="141"/>
    </row>
    <row r="22" spans="1:15" ht="15" customHeight="1" x14ac:dyDescent="0.2">
      <c r="A22" s="58" t="s">
        <v>24</v>
      </c>
      <c r="B22" s="59" t="s">
        <v>44</v>
      </c>
      <c r="C22" s="63">
        <v>0</v>
      </c>
      <c r="D22" s="60" t="s">
        <v>230</v>
      </c>
      <c r="E22" s="67" t="s">
        <v>40</v>
      </c>
      <c r="F22" s="59" t="s">
        <v>41</v>
      </c>
      <c r="G22" s="63">
        <v>0</v>
      </c>
      <c r="H22" s="50" t="s">
        <v>214</v>
      </c>
      <c r="I22" s="139"/>
      <c r="J22" s="140"/>
      <c r="K22" s="140"/>
      <c r="L22" s="140"/>
      <c r="M22" s="140"/>
      <c r="N22" s="140"/>
      <c r="O22" s="141"/>
    </row>
    <row r="23" spans="1:15" ht="15" customHeight="1" x14ac:dyDescent="0.2">
      <c r="A23" s="58" t="s">
        <v>26</v>
      </c>
      <c r="B23" s="59" t="s">
        <v>15</v>
      </c>
      <c r="C23" s="63">
        <v>0</v>
      </c>
      <c r="D23" s="60" t="s">
        <v>229</v>
      </c>
      <c r="E23" s="150" t="s">
        <v>131</v>
      </c>
      <c r="F23" s="259"/>
      <c r="G23" s="260"/>
      <c r="H23" s="260"/>
      <c r="I23" s="139"/>
      <c r="J23" s="140"/>
      <c r="K23" s="140"/>
      <c r="L23" s="140"/>
      <c r="M23" s="140"/>
      <c r="N23" s="140"/>
      <c r="O23" s="141"/>
    </row>
    <row r="24" spans="1:15" ht="15" customHeight="1" x14ac:dyDescent="0.2">
      <c r="A24" s="67" t="s">
        <v>22</v>
      </c>
      <c r="B24" s="59" t="s">
        <v>41</v>
      </c>
      <c r="C24" s="63">
        <v>950</v>
      </c>
      <c r="D24" s="60" t="s">
        <v>231</v>
      </c>
      <c r="E24" s="58"/>
      <c r="F24" s="59"/>
      <c r="G24" s="59"/>
      <c r="H24" s="140"/>
      <c r="I24" s="139"/>
      <c r="J24" s="140"/>
      <c r="K24" s="140"/>
      <c r="L24" s="140"/>
      <c r="M24" s="140"/>
      <c r="N24" s="140"/>
      <c r="O24" s="141"/>
    </row>
    <row r="25" spans="1:15" ht="15" customHeight="1" thickBot="1" x14ac:dyDescent="0.25">
      <c r="A25" s="236" t="s">
        <v>33</v>
      </c>
      <c r="B25" s="237"/>
      <c r="C25" s="238">
        <v>0</v>
      </c>
      <c r="D25" s="239"/>
      <c r="E25" s="69"/>
      <c r="F25" s="70"/>
      <c r="G25" s="70"/>
      <c r="H25" s="143"/>
      <c r="I25" s="142"/>
      <c r="J25" s="143"/>
      <c r="K25" s="143"/>
      <c r="L25" s="143"/>
      <c r="M25" s="143"/>
      <c r="N25" s="143"/>
      <c r="O25" s="144"/>
    </row>
    <row r="26" spans="1:15" ht="15" customHeight="1" x14ac:dyDescent="0.2">
      <c r="C26" s="57"/>
    </row>
    <row r="27" spans="1:15" ht="15" customHeight="1" x14ac:dyDescent="0.2"/>
    <row r="28" spans="1:15" ht="15" customHeight="1" x14ac:dyDescent="0.2"/>
    <row r="32" spans="1:15" ht="18" x14ac:dyDescent="0.25">
      <c r="A32" s="198" t="s">
        <v>119</v>
      </c>
      <c r="B32" s="198"/>
      <c r="C32" s="198"/>
      <c r="D32" s="198"/>
    </row>
    <row r="33" spans="1:3" ht="21" customHeight="1" x14ac:dyDescent="0.2">
      <c r="A33" s="54" t="s">
        <v>73</v>
      </c>
      <c r="B33" s="54"/>
      <c r="C33" s="54">
        <f>VLOOKUP(G3,Hoja2!A2:F22,2)</f>
        <v>0.47601521250122947</v>
      </c>
    </row>
    <row r="34" spans="1:3" x14ac:dyDescent="0.2">
      <c r="A34" s="54" t="s">
        <v>125</v>
      </c>
      <c r="B34" s="54"/>
      <c r="C34" s="55">
        <f>(VLOOKUP(G3,Hoja2!A2:F22,3)*K14+VLOOKUP(G3,Hoja2!A2:F22,4))*C36</f>
        <v>0.26395208778715407</v>
      </c>
    </row>
    <row r="35" spans="1:3" x14ac:dyDescent="0.2">
      <c r="A35" s="54" t="s">
        <v>123</v>
      </c>
      <c r="B35" s="54"/>
      <c r="C35" s="54">
        <f>VLOOKUP(G3,Hoja2!A2:F22,5)</f>
        <v>0.71964387134949526</v>
      </c>
    </row>
    <row r="36" spans="1:3" x14ac:dyDescent="0.2">
      <c r="A36" s="54" t="s">
        <v>126</v>
      </c>
      <c r="B36" s="54"/>
      <c r="C36" s="54">
        <f>IF(F9,1,VLOOKUP(G3,Hoja2!A2:F22,6))</f>
        <v>0.82585705604597537</v>
      </c>
    </row>
    <row r="38" spans="1:3" x14ac:dyDescent="0.2">
      <c r="B38" s="56">
        <v>0</v>
      </c>
      <c r="C38" s="56">
        <v>0</v>
      </c>
    </row>
    <row r="39" spans="1:3" x14ac:dyDescent="0.2">
      <c r="B39" s="56">
        <v>1200</v>
      </c>
      <c r="C39" s="56">
        <v>1200</v>
      </c>
    </row>
    <row r="43" spans="1:3" x14ac:dyDescent="0.2">
      <c r="B43" s="56">
        <f>G16</f>
        <v>0</v>
      </c>
      <c r="C43" s="56">
        <f>G16</f>
        <v>0</v>
      </c>
    </row>
    <row r="44" spans="1:3" x14ac:dyDescent="0.2">
      <c r="B44" s="56">
        <f>G16</f>
        <v>0</v>
      </c>
      <c r="C44" s="56">
        <f>G22</f>
        <v>0</v>
      </c>
    </row>
    <row r="46" spans="1:3" x14ac:dyDescent="0.2">
      <c r="B46" s="56">
        <v>0</v>
      </c>
      <c r="C46" s="71">
        <f>C34*G7</f>
        <v>501.5089667955927</v>
      </c>
    </row>
    <row r="47" spans="1:3" x14ac:dyDescent="0.2">
      <c r="B47" s="56">
        <f>(C48-C46)/C35</f>
        <v>559.88795708240673</v>
      </c>
      <c r="C47" s="56">
        <f>C48</f>
        <v>904.42890375233594</v>
      </c>
    </row>
    <row r="48" spans="1:3" x14ac:dyDescent="0.2">
      <c r="B48" s="56">
        <f>C47</f>
        <v>904.42890375233594</v>
      </c>
      <c r="C48" s="56">
        <f>C33*G7</f>
        <v>904.42890375233594</v>
      </c>
    </row>
    <row r="51" spans="1:4" x14ac:dyDescent="0.2">
      <c r="A51" s="257" t="s">
        <v>232</v>
      </c>
      <c r="B51" s="257"/>
      <c r="C51" s="257"/>
      <c r="D51" s="257"/>
    </row>
    <row r="52" spans="1:4" x14ac:dyDescent="0.2">
      <c r="B52" s="56">
        <v>0</v>
      </c>
      <c r="C52" s="56">
        <f>C20</f>
        <v>7.84513457981725</v>
      </c>
    </row>
    <row r="53" spans="1:4" x14ac:dyDescent="0.2">
      <c r="B53" s="56">
        <f>G15</f>
        <v>0</v>
      </c>
      <c r="C53" s="57">
        <f>G14</f>
        <v>0</v>
      </c>
    </row>
    <row r="54" spans="1:4" x14ac:dyDescent="0.2">
      <c r="B54" s="56">
        <f>G21</f>
        <v>0</v>
      </c>
      <c r="C54" s="56">
        <f>G20</f>
        <v>0</v>
      </c>
    </row>
  </sheetData>
  <mergeCells count="22">
    <mergeCell ref="A51:D51"/>
    <mergeCell ref="K14:L14"/>
    <mergeCell ref="A10:B10"/>
    <mergeCell ref="C10:D10"/>
    <mergeCell ref="F17:H17"/>
    <mergeCell ref="F23:H23"/>
    <mergeCell ref="A32:D32"/>
    <mergeCell ref="I13:O13"/>
    <mergeCell ref="B1:H1"/>
    <mergeCell ref="A1:A2"/>
    <mergeCell ref="B2:D2"/>
    <mergeCell ref="A25:B25"/>
    <mergeCell ref="C25:D25"/>
    <mergeCell ref="E11:H11"/>
    <mergeCell ref="E2:H2"/>
    <mergeCell ref="E3:F3"/>
    <mergeCell ref="A11:D11"/>
    <mergeCell ref="A16:B16"/>
    <mergeCell ref="C16:D16"/>
    <mergeCell ref="A17:D17"/>
    <mergeCell ref="C7:D7"/>
    <mergeCell ref="E18:H18"/>
  </mergeCells>
  <pageMargins left="0.75" right="0.75" top="1" bottom="1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6" r:id="rId4" name="OptionButton2">
          <controlPr defaultSize="0" autoLine="0" r:id="rId5">
            <anchor moveWithCells="1" sizeWithCells="1">
              <from>
                <xdr:col>8</xdr:col>
                <xdr:colOff>95250</xdr:colOff>
                <xdr:row>2</xdr:row>
                <xdr:rowOff>161925</xdr:rowOff>
              </from>
              <to>
                <xdr:col>9</xdr:col>
                <xdr:colOff>114300</xdr:colOff>
                <xdr:row>4</xdr:row>
                <xdr:rowOff>0</xdr:rowOff>
              </to>
            </anchor>
          </controlPr>
        </control>
      </mc:Choice>
      <mc:Fallback>
        <control shapeId="12296" r:id="rId4" name="OptionButton2"/>
      </mc:Fallback>
    </mc:AlternateContent>
    <mc:AlternateContent xmlns:mc="http://schemas.openxmlformats.org/markup-compatibility/2006">
      <mc:Choice Requires="x14">
        <control shapeId="12297" r:id="rId6" name="OptionButton3">
          <controlPr defaultSize="0" autoLine="0" r:id="rId7">
            <anchor moveWithCells="1" sizeWithCells="1">
              <from>
                <xdr:col>8</xdr:col>
                <xdr:colOff>95250</xdr:colOff>
                <xdr:row>6</xdr:row>
                <xdr:rowOff>123825</xdr:rowOff>
              </from>
              <to>
                <xdr:col>9</xdr:col>
                <xdr:colOff>114300</xdr:colOff>
                <xdr:row>7</xdr:row>
                <xdr:rowOff>161925</xdr:rowOff>
              </to>
            </anchor>
          </controlPr>
        </control>
      </mc:Choice>
      <mc:Fallback>
        <control shapeId="12297" r:id="rId6" name="OptionButton3"/>
      </mc:Fallback>
    </mc:AlternateContent>
    <mc:AlternateContent xmlns:mc="http://schemas.openxmlformats.org/markup-compatibility/2006">
      <mc:Choice Requires="x14">
        <control shapeId="12298" r:id="rId8" name="OptionButton4">
          <controlPr defaultSize="0" autoLine="0" r:id="rId9">
            <anchor moveWithCells="1" sizeWithCells="1">
              <from>
                <xdr:col>8</xdr:col>
                <xdr:colOff>95250</xdr:colOff>
                <xdr:row>1</xdr:row>
                <xdr:rowOff>257175</xdr:rowOff>
              </from>
              <to>
                <xdr:col>9</xdr:col>
                <xdr:colOff>114300</xdr:colOff>
                <xdr:row>2</xdr:row>
                <xdr:rowOff>104775</xdr:rowOff>
              </to>
            </anchor>
          </controlPr>
        </control>
      </mc:Choice>
      <mc:Fallback>
        <control shapeId="12298" r:id="rId8" name="OptionButton4"/>
      </mc:Fallback>
    </mc:AlternateContent>
    <mc:AlternateContent xmlns:mc="http://schemas.openxmlformats.org/markup-compatibility/2006">
      <mc:Choice Requires="x14">
        <control shapeId="12300" r:id="rId10" name="OptionButton5">
          <controlPr defaultSize="0" autoLine="0" r:id="rId11">
            <anchor moveWithCells="1" sizeWithCells="1">
              <from>
                <xdr:col>8</xdr:col>
                <xdr:colOff>95250</xdr:colOff>
                <xdr:row>5</xdr:row>
                <xdr:rowOff>47625</xdr:rowOff>
              </from>
              <to>
                <xdr:col>9</xdr:col>
                <xdr:colOff>114300</xdr:colOff>
                <xdr:row>6</xdr:row>
                <xdr:rowOff>85725</xdr:rowOff>
              </to>
            </anchor>
          </controlPr>
        </control>
      </mc:Choice>
      <mc:Fallback>
        <control shapeId="12300" r:id="rId10" name="OptionButton5"/>
      </mc:Fallback>
    </mc:AlternateContent>
    <mc:AlternateContent xmlns:mc="http://schemas.openxmlformats.org/markup-compatibility/2006">
      <mc:Choice Requires="x14">
        <control shapeId="12301" r:id="rId12" name="OptionButton7">
          <controlPr defaultSize="0" autoLine="0" r:id="rId13">
            <anchor moveWithCells="1" sizeWithCells="1">
              <from>
                <xdr:col>8</xdr:col>
                <xdr:colOff>95250</xdr:colOff>
                <xdr:row>10</xdr:row>
                <xdr:rowOff>123825</xdr:rowOff>
              </from>
              <to>
                <xdr:col>9</xdr:col>
                <xdr:colOff>114300</xdr:colOff>
                <xdr:row>11</xdr:row>
                <xdr:rowOff>9525</xdr:rowOff>
              </to>
            </anchor>
          </controlPr>
        </control>
      </mc:Choice>
      <mc:Fallback>
        <control shapeId="12301" r:id="rId12" name="OptionButton7"/>
      </mc:Fallback>
    </mc:AlternateContent>
    <mc:AlternateContent xmlns:mc="http://schemas.openxmlformats.org/markup-compatibility/2006">
      <mc:Choice Requires="x14">
        <control shapeId="12302" r:id="rId14" name="OptionButton8">
          <controlPr defaultSize="0" autoLine="0" r:id="rId15">
            <anchor moveWithCells="1" sizeWithCells="1">
              <from>
                <xdr:col>8</xdr:col>
                <xdr:colOff>95250</xdr:colOff>
                <xdr:row>9</xdr:row>
                <xdr:rowOff>47625</xdr:rowOff>
              </from>
              <to>
                <xdr:col>9</xdr:col>
                <xdr:colOff>114300</xdr:colOff>
                <xdr:row>10</xdr:row>
                <xdr:rowOff>85725</xdr:rowOff>
              </to>
            </anchor>
          </controlPr>
        </control>
      </mc:Choice>
      <mc:Fallback>
        <control shapeId="12302" r:id="rId14" name="OptionButton8"/>
      </mc:Fallback>
    </mc:AlternateContent>
    <mc:AlternateContent xmlns:mc="http://schemas.openxmlformats.org/markup-compatibility/2006">
      <mc:Choice Requires="x14">
        <control shapeId="12303" r:id="rId16" name="Pretension">
          <controlPr locked="0" autoLine="0" autoPict="0" r:id="rId17">
            <anchor moveWithCells="1" sizeWithCells="1">
              <from>
                <xdr:col>6</xdr:col>
                <xdr:colOff>438150</xdr:colOff>
                <xdr:row>7</xdr:row>
                <xdr:rowOff>123825</xdr:rowOff>
              </from>
              <to>
                <xdr:col>7</xdr:col>
                <xdr:colOff>1590675</xdr:colOff>
                <xdr:row>9</xdr:row>
                <xdr:rowOff>104775</xdr:rowOff>
              </to>
            </anchor>
          </controlPr>
        </control>
      </mc:Choice>
      <mc:Fallback>
        <control shapeId="12303" r:id="rId16" name="Pretension"/>
      </mc:Fallback>
    </mc:AlternateContent>
    <mc:AlternateContent xmlns:mc="http://schemas.openxmlformats.org/markup-compatibility/2006">
      <mc:Choice Requires="x14">
        <control shapeId="12304" r:id="rId18" name="ShotPeening">
          <controlPr defaultSize="0" autoLine="0" r:id="rId19">
            <anchor>
              <from>
                <xdr:col>4</xdr:col>
                <xdr:colOff>161925</xdr:colOff>
                <xdr:row>7</xdr:row>
                <xdr:rowOff>133350</xdr:rowOff>
              </from>
              <to>
                <xdr:col>6</xdr:col>
                <xdr:colOff>209550</xdr:colOff>
                <xdr:row>9</xdr:row>
                <xdr:rowOff>95250</xdr:rowOff>
              </to>
            </anchor>
          </controlPr>
        </control>
      </mc:Choice>
      <mc:Fallback>
        <control shapeId="12304" r:id="rId18" name="ShotPee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Hoja2!$A$2:$A$22</xm:f>
          </x14:formula1>
          <xm:sqref>G3</xm:sqref>
        </x14:dataValidation>
        <x14:dataValidation type="list" allowBlank="1" showInputMessage="1" showErrorMessage="1">
          <x14:formula1>
            <xm:f>Hoja2!$I$2:$I$4</xm:f>
          </x14:formula1>
          <xm:sqref>K14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AM77"/>
  <sheetViews>
    <sheetView zoomScale="90" zoomScaleNormal="90" workbookViewId="0">
      <selection activeCell="C19" sqref="C19"/>
    </sheetView>
  </sheetViews>
  <sheetFormatPr defaultColWidth="9.140625" defaultRowHeight="12.75" x14ac:dyDescent="0.2"/>
  <cols>
    <col min="1" max="1" width="13" style="72" customWidth="1"/>
    <col min="2" max="2" width="12.28515625" style="72" bestFit="1" customWidth="1"/>
    <col min="3" max="3" width="12.28515625" style="72" customWidth="1"/>
    <col min="4" max="4" width="37.28515625" style="72" customWidth="1"/>
    <col min="5" max="5" width="9.140625" style="72" bestFit="1" customWidth="1"/>
    <col min="6" max="6" width="13" style="72" bestFit="1" customWidth="1"/>
    <col min="7" max="7" width="12.42578125" style="72" bestFit="1" customWidth="1"/>
    <col min="8" max="8" width="37.7109375" style="72" customWidth="1"/>
    <col min="9" max="18" width="9.85546875" style="72" customWidth="1"/>
    <col min="19" max="22" width="9.140625" style="72"/>
    <col min="23" max="23" width="13.42578125" style="72" bestFit="1" customWidth="1"/>
    <col min="24" max="31" width="9.140625" style="72"/>
    <col min="32" max="33" width="9.140625" style="56"/>
    <col min="34" max="16384" width="9.140625" style="72"/>
  </cols>
  <sheetData>
    <row r="1" spans="1:39" ht="33.75" customHeight="1" thickBot="1" x14ac:dyDescent="0.25">
      <c r="A1" s="273"/>
      <c r="B1" s="271" t="s">
        <v>219</v>
      </c>
      <c r="C1" s="272"/>
      <c r="D1" s="272"/>
      <c r="E1" s="272"/>
      <c r="F1" s="272"/>
      <c r="G1" s="272"/>
      <c r="H1" s="272"/>
      <c r="I1" s="148"/>
      <c r="J1" s="146"/>
      <c r="K1" s="146"/>
      <c r="L1" s="146"/>
      <c r="M1" s="146"/>
      <c r="N1" s="149"/>
      <c r="O1" s="146"/>
      <c r="P1" s="146"/>
      <c r="Q1" s="146"/>
      <c r="R1" s="149"/>
      <c r="V1" s="262" t="s">
        <v>170</v>
      </c>
      <c r="W1" s="262"/>
      <c r="X1" s="262" t="s">
        <v>171</v>
      </c>
      <c r="Y1" s="262"/>
      <c r="Z1" s="262" t="s">
        <v>172</v>
      </c>
      <c r="AA1" s="262"/>
      <c r="AB1" s="262" t="s">
        <v>173</v>
      </c>
      <c r="AC1" s="262"/>
      <c r="AD1" s="262" t="s">
        <v>171</v>
      </c>
      <c r="AE1" s="262"/>
      <c r="AF1" s="262" t="s">
        <v>172</v>
      </c>
      <c r="AG1" s="262"/>
      <c r="AH1" s="262" t="s">
        <v>174</v>
      </c>
      <c r="AI1" s="262"/>
      <c r="AJ1" s="262" t="s">
        <v>171</v>
      </c>
      <c r="AK1" s="262"/>
      <c r="AL1" s="262" t="s">
        <v>172</v>
      </c>
      <c r="AM1" s="262"/>
    </row>
    <row r="2" spans="1:39" ht="29.25" customHeight="1" thickBot="1" x14ac:dyDescent="0.3">
      <c r="A2" s="274"/>
      <c r="B2" s="76" t="s">
        <v>35</v>
      </c>
      <c r="C2" s="76"/>
      <c r="D2" s="77"/>
      <c r="E2" s="267" t="s">
        <v>36</v>
      </c>
      <c r="F2" s="268"/>
      <c r="G2" s="268"/>
      <c r="H2" s="268"/>
      <c r="I2" s="119"/>
      <c r="J2" s="120"/>
      <c r="K2" s="120"/>
      <c r="L2" s="120"/>
      <c r="M2" s="120"/>
      <c r="N2" s="121"/>
      <c r="O2" s="97"/>
      <c r="P2" s="97"/>
      <c r="Q2" s="97"/>
      <c r="R2" s="98"/>
      <c r="U2" s="73" t="s">
        <v>175</v>
      </c>
      <c r="V2" s="73" t="s">
        <v>176</v>
      </c>
      <c r="W2" s="73" t="s">
        <v>177</v>
      </c>
      <c r="X2" s="73" t="s">
        <v>178</v>
      </c>
      <c r="Y2" s="73" t="s">
        <v>179</v>
      </c>
      <c r="Z2" s="73" t="s">
        <v>178</v>
      </c>
      <c r="AA2" s="73" t="s">
        <v>179</v>
      </c>
      <c r="AB2" s="73" t="s">
        <v>176</v>
      </c>
      <c r="AC2" s="73" t="s">
        <v>177</v>
      </c>
      <c r="AD2" s="73" t="s">
        <v>178</v>
      </c>
      <c r="AE2" s="73" t="s">
        <v>179</v>
      </c>
      <c r="AF2" s="73" t="s">
        <v>178</v>
      </c>
      <c r="AG2" s="73" t="s">
        <v>179</v>
      </c>
      <c r="AH2" s="73" t="s">
        <v>176</v>
      </c>
      <c r="AI2" s="73" t="s">
        <v>177</v>
      </c>
      <c r="AJ2" s="73" t="s">
        <v>178</v>
      </c>
      <c r="AK2" s="73" t="s">
        <v>179</v>
      </c>
      <c r="AL2" s="73" t="s">
        <v>178</v>
      </c>
      <c r="AM2" s="73" t="s">
        <v>179</v>
      </c>
    </row>
    <row r="3" spans="1:39" x14ac:dyDescent="0.2">
      <c r="A3" s="78" t="s">
        <v>0</v>
      </c>
      <c r="B3" s="79" t="s">
        <v>15</v>
      </c>
      <c r="C3" s="81">
        <v>0</v>
      </c>
      <c r="D3" s="162" t="s">
        <v>187</v>
      </c>
      <c r="E3" s="269" t="s">
        <v>71</v>
      </c>
      <c r="F3" s="270"/>
      <c r="G3" s="66" t="s">
        <v>64</v>
      </c>
      <c r="H3" s="120"/>
      <c r="I3" s="119"/>
      <c r="J3" s="120"/>
      <c r="K3" s="120"/>
      <c r="L3" s="120"/>
      <c r="M3" s="120"/>
      <c r="N3" s="121"/>
      <c r="O3" s="120"/>
      <c r="P3" s="120"/>
      <c r="Q3" s="120"/>
      <c r="R3" s="121"/>
      <c r="T3" s="72">
        <v>0</v>
      </c>
      <c r="U3" s="73">
        <v>0</v>
      </c>
      <c r="V3" s="75">
        <f>$C$5/2</f>
        <v>0</v>
      </c>
      <c r="W3" s="73">
        <v>0</v>
      </c>
      <c r="X3" s="75">
        <f>$C$5/2</f>
        <v>0</v>
      </c>
      <c r="Y3" s="73">
        <v>0</v>
      </c>
      <c r="Z3" s="75">
        <f>COS(C19*PI()/180)*$C$5/2</f>
        <v>0</v>
      </c>
      <c r="AA3" s="73">
        <f>SIN(C19*PI()/180)*$C$5/2</f>
        <v>0</v>
      </c>
      <c r="AB3" s="75">
        <f>$G$18/2</f>
        <v>0</v>
      </c>
      <c r="AC3" s="73">
        <v>0</v>
      </c>
      <c r="AD3" s="75">
        <f>$G$18/2</f>
        <v>0</v>
      </c>
      <c r="AE3" s="73">
        <v>0</v>
      </c>
      <c r="AF3" s="56">
        <f>COS((C19+G13)*PI()/180)*$G$18/2</f>
        <v>0</v>
      </c>
      <c r="AG3" s="56">
        <f>SIN((C19+G13)*PI()/180)*$G$18/2</f>
        <v>0</v>
      </c>
      <c r="AH3" s="75">
        <f>$G$28/2</f>
        <v>0</v>
      </c>
      <c r="AI3" s="73">
        <v>0</v>
      </c>
      <c r="AJ3" s="75">
        <f>$G$28/2</f>
        <v>0</v>
      </c>
      <c r="AK3" s="73">
        <v>0</v>
      </c>
      <c r="AL3" s="72">
        <f>COS((C19+G23)*PI()/180)*$G$18/2</f>
        <v>0</v>
      </c>
      <c r="AM3" s="72">
        <f>SIN((C19+G23)*PI()/180)*$G$18/2</f>
        <v>0</v>
      </c>
    </row>
    <row r="4" spans="1:39" x14ac:dyDescent="0.2">
      <c r="A4" s="78" t="s">
        <v>1</v>
      </c>
      <c r="B4" s="79" t="s">
        <v>15</v>
      </c>
      <c r="C4" s="160">
        <v>0</v>
      </c>
      <c r="D4" s="162" t="s">
        <v>188</v>
      </c>
      <c r="E4" s="78" t="s">
        <v>32</v>
      </c>
      <c r="F4" s="79" t="s">
        <v>41</v>
      </c>
      <c r="G4" s="84">
        <v>190000</v>
      </c>
      <c r="H4" s="50" t="s">
        <v>97</v>
      </c>
      <c r="I4" s="119"/>
      <c r="J4" s="120"/>
      <c r="K4" s="120"/>
      <c r="L4" s="120"/>
      <c r="M4" s="120"/>
      <c r="N4" s="121"/>
      <c r="O4" s="120"/>
      <c r="P4" s="120"/>
      <c r="Q4" s="120"/>
      <c r="R4" s="121"/>
      <c r="T4" s="72">
        <v>1</v>
      </c>
      <c r="U4" s="72">
        <f t="shared" ref="U4:U38" si="0">2*PI()/MAX(T:T)*T4</f>
        <v>0.17951958020513104</v>
      </c>
      <c r="V4" s="72">
        <f>COS(U4)*$C$5/2</f>
        <v>0</v>
      </c>
      <c r="W4" s="72">
        <f>SIN(U4)*$C$5/2</f>
        <v>0</v>
      </c>
      <c r="X4" s="75">
        <f>$C$5/2</f>
        <v>0</v>
      </c>
      <c r="Y4" s="72">
        <f>-$C$25</f>
        <v>0</v>
      </c>
      <c r="Z4" s="72">
        <f>Z3+$C$26*COS(($C$19+90)*PI()/180)</f>
        <v>0</v>
      </c>
      <c r="AA4" s="72">
        <f>AA3+$C$26*SIN(($C$19+90)*PI()/180)</f>
        <v>0</v>
      </c>
      <c r="AB4" s="75">
        <f t="shared" ref="AB4:AB38" si="1">COS(U4)*$G$18/2</f>
        <v>0</v>
      </c>
      <c r="AC4" s="72">
        <f t="shared" ref="AC4:AC38" si="2">SIN(U4)*$G$18/2</f>
        <v>0</v>
      </c>
      <c r="AD4" s="75">
        <f>$G$18/2</f>
        <v>0</v>
      </c>
      <c r="AE4" s="72">
        <f>-$C$25</f>
        <v>0</v>
      </c>
      <c r="AF4" s="56">
        <f>AF3+$C$26*COS(($C$19+G13+90)*PI()/180)</f>
        <v>0</v>
      </c>
      <c r="AG4" s="56">
        <f>AG3+$C$26*SIN(($C$19+G13+90)*PI()/180)</f>
        <v>0</v>
      </c>
      <c r="AH4" s="75">
        <f t="shared" ref="AH4:AH38" si="3">COS(U4)*$G$28/2</f>
        <v>0</v>
      </c>
      <c r="AI4" s="72">
        <f t="shared" ref="AI4:AI38" si="4">SIN(U4)*$G$28/2</f>
        <v>0</v>
      </c>
      <c r="AJ4" s="75">
        <f>$G$28/2</f>
        <v>0</v>
      </c>
      <c r="AK4" s="72">
        <f>-$C$25</f>
        <v>0</v>
      </c>
      <c r="AL4" s="72">
        <f>AL3+$C$26*COS(($C$19+G23+90)*PI()/180)</f>
        <v>0</v>
      </c>
      <c r="AM4" s="72">
        <f>AM3+$C$26*SIN(($C$19+G23+90)*PI()/180)</f>
        <v>0</v>
      </c>
    </row>
    <row r="5" spans="1:39" x14ac:dyDescent="0.2">
      <c r="A5" s="78" t="s">
        <v>2</v>
      </c>
      <c r="B5" s="79" t="s">
        <v>15</v>
      </c>
      <c r="C5" s="81">
        <v>0</v>
      </c>
      <c r="D5" s="162" t="s">
        <v>194</v>
      </c>
      <c r="E5" s="78" t="s">
        <v>30</v>
      </c>
      <c r="F5" s="79" t="s">
        <v>41</v>
      </c>
      <c r="G5" s="84">
        <v>81500</v>
      </c>
      <c r="H5" s="50" t="s">
        <v>98</v>
      </c>
      <c r="I5" s="119"/>
      <c r="J5" s="120"/>
      <c r="K5" s="120"/>
      <c r="L5" s="120"/>
      <c r="M5" s="120"/>
      <c r="N5" s="121"/>
      <c r="O5" s="120"/>
      <c r="P5" s="120"/>
      <c r="Q5" s="120"/>
      <c r="R5" s="121"/>
      <c r="T5" s="72">
        <v>2</v>
      </c>
      <c r="U5" s="72">
        <f t="shared" si="0"/>
        <v>0.35903916041026207</v>
      </c>
      <c r="V5" s="72">
        <f t="shared" ref="V5:V38" si="5">COS(U5)*$C$5/2</f>
        <v>0</v>
      </c>
      <c r="W5" s="72">
        <f t="shared" ref="W5:W38" si="6">SIN(U5)*$C$5/2</f>
        <v>0</v>
      </c>
      <c r="AB5" s="75">
        <f t="shared" si="1"/>
        <v>0</v>
      </c>
      <c r="AC5" s="72">
        <f t="shared" si="2"/>
        <v>0</v>
      </c>
      <c r="AH5" s="75">
        <f t="shared" si="3"/>
        <v>0</v>
      </c>
      <c r="AI5" s="72">
        <f t="shared" si="4"/>
        <v>0</v>
      </c>
    </row>
    <row r="6" spans="1:39" ht="21.75" customHeight="1" x14ac:dyDescent="0.2">
      <c r="A6" s="279"/>
      <c r="B6" s="280"/>
      <c r="C6" s="280"/>
      <c r="D6" s="281"/>
      <c r="E6" s="78" t="s">
        <v>31</v>
      </c>
      <c r="F6" s="79" t="s">
        <v>41</v>
      </c>
      <c r="G6" s="84">
        <f>(1860+2070)/2</f>
        <v>1965</v>
      </c>
      <c r="H6" s="50" t="s">
        <v>99</v>
      </c>
      <c r="I6" s="119"/>
      <c r="J6" s="120"/>
      <c r="K6" s="120"/>
      <c r="L6" s="120"/>
      <c r="M6" s="120"/>
      <c r="N6" s="121"/>
      <c r="O6" s="120"/>
      <c r="P6" s="120"/>
      <c r="Q6" s="120"/>
      <c r="R6" s="121"/>
      <c r="T6" s="72">
        <v>3</v>
      </c>
      <c r="U6" s="72">
        <f t="shared" si="0"/>
        <v>0.53855874061539311</v>
      </c>
      <c r="V6" s="72">
        <f t="shared" si="5"/>
        <v>0</v>
      </c>
      <c r="W6" s="72">
        <f t="shared" si="6"/>
        <v>0</v>
      </c>
      <c r="AB6" s="75">
        <f t="shared" si="1"/>
        <v>0</v>
      </c>
      <c r="AC6" s="72">
        <f t="shared" si="2"/>
        <v>0</v>
      </c>
      <c r="AH6" s="75">
        <f t="shared" si="3"/>
        <v>0</v>
      </c>
      <c r="AI6" s="72">
        <f t="shared" si="4"/>
        <v>0</v>
      </c>
    </row>
    <row r="7" spans="1:39" x14ac:dyDescent="0.2">
      <c r="A7" s="78" t="s">
        <v>11</v>
      </c>
      <c r="B7" s="79" t="s">
        <v>15</v>
      </c>
      <c r="C7" s="81">
        <v>0</v>
      </c>
      <c r="D7" s="162" t="s">
        <v>186</v>
      </c>
      <c r="E7" s="65" t="s">
        <v>70</v>
      </c>
      <c r="F7" s="66" t="s">
        <v>41</v>
      </c>
      <c r="G7" s="66">
        <v>1735</v>
      </c>
      <c r="H7" s="50" t="s">
        <v>202</v>
      </c>
      <c r="I7" s="119"/>
      <c r="J7" s="120"/>
      <c r="K7" s="120"/>
      <c r="L7" s="120"/>
      <c r="M7" s="120"/>
      <c r="N7" s="121"/>
      <c r="O7" s="120"/>
      <c r="P7" s="120"/>
      <c r="Q7" s="120"/>
      <c r="R7" s="121"/>
      <c r="T7" s="72">
        <v>4</v>
      </c>
      <c r="U7" s="72">
        <f t="shared" si="0"/>
        <v>0.71807832082052414</v>
      </c>
      <c r="V7" s="72">
        <f t="shared" si="5"/>
        <v>0</v>
      </c>
      <c r="W7" s="72">
        <f t="shared" si="6"/>
        <v>0</v>
      </c>
      <c r="AB7" s="75">
        <f t="shared" si="1"/>
        <v>0</v>
      </c>
      <c r="AC7" s="72">
        <f t="shared" si="2"/>
        <v>0</v>
      </c>
      <c r="AH7" s="75">
        <f t="shared" si="3"/>
        <v>0</v>
      </c>
      <c r="AI7" s="72">
        <f t="shared" si="4"/>
        <v>0</v>
      </c>
    </row>
    <row r="8" spans="1:39" ht="22.5" customHeight="1" thickBot="1" x14ac:dyDescent="0.25">
      <c r="A8" s="78"/>
      <c r="B8" s="79"/>
      <c r="C8" s="82"/>
      <c r="D8" s="80"/>
      <c r="E8" s="85"/>
      <c r="F8" s="86" t="b">
        <v>0</v>
      </c>
      <c r="G8" s="86"/>
      <c r="H8" s="118"/>
      <c r="I8" s="119"/>
      <c r="J8" s="120"/>
      <c r="K8" s="120"/>
      <c r="L8" s="120"/>
      <c r="M8" s="120"/>
      <c r="N8" s="121"/>
      <c r="O8" s="120"/>
      <c r="P8" s="120"/>
      <c r="Q8" s="120"/>
      <c r="R8" s="121"/>
      <c r="T8" s="72">
        <v>5</v>
      </c>
      <c r="U8" s="72">
        <f t="shared" si="0"/>
        <v>0.89759790102565518</v>
      </c>
      <c r="V8" s="72">
        <f t="shared" si="5"/>
        <v>0</v>
      </c>
      <c r="W8" s="72">
        <f t="shared" si="6"/>
        <v>0</v>
      </c>
      <c r="AB8" s="75">
        <f t="shared" si="1"/>
        <v>0</v>
      </c>
      <c r="AC8" s="72">
        <f t="shared" si="2"/>
        <v>0</v>
      </c>
      <c r="AH8" s="75">
        <f t="shared" si="3"/>
        <v>0</v>
      </c>
      <c r="AI8" s="72">
        <f t="shared" si="4"/>
        <v>0</v>
      </c>
    </row>
    <row r="9" spans="1:39" x14ac:dyDescent="0.2">
      <c r="A9" s="78" t="s">
        <v>142</v>
      </c>
      <c r="B9" s="79" t="s">
        <v>15</v>
      </c>
      <c r="C9" s="81">
        <v>0</v>
      </c>
      <c r="D9" s="79" t="s">
        <v>236</v>
      </c>
      <c r="E9" s="263" t="s">
        <v>183</v>
      </c>
      <c r="F9" s="264"/>
      <c r="G9" s="264"/>
      <c r="H9" s="264"/>
      <c r="I9" s="119"/>
      <c r="J9" s="120"/>
      <c r="K9" s="120"/>
      <c r="L9" s="120"/>
      <c r="M9" s="120"/>
      <c r="N9" s="121"/>
      <c r="O9" s="120"/>
      <c r="P9" s="120"/>
      <c r="Q9" s="120"/>
      <c r="R9" s="121"/>
      <c r="T9" s="72">
        <v>6</v>
      </c>
      <c r="U9" s="72">
        <f t="shared" si="0"/>
        <v>1.0771174812307862</v>
      </c>
      <c r="V9" s="72">
        <f t="shared" si="5"/>
        <v>0</v>
      </c>
      <c r="W9" s="72">
        <f t="shared" si="6"/>
        <v>0</v>
      </c>
      <c r="AB9" s="75">
        <f t="shared" si="1"/>
        <v>0</v>
      </c>
      <c r="AC9" s="72">
        <f t="shared" si="2"/>
        <v>0</v>
      </c>
      <c r="AH9" s="75">
        <f t="shared" si="3"/>
        <v>0</v>
      </c>
      <c r="AI9" s="72">
        <f t="shared" si="4"/>
        <v>0</v>
      </c>
    </row>
    <row r="10" spans="1:39" x14ac:dyDescent="0.2">
      <c r="A10" s="78" t="s">
        <v>10</v>
      </c>
      <c r="B10" s="79" t="s">
        <v>15</v>
      </c>
      <c r="C10" s="81">
        <v>0</v>
      </c>
      <c r="D10" s="79" t="s">
        <v>237</v>
      </c>
      <c r="E10" s="265"/>
      <c r="F10" s="266"/>
      <c r="G10" s="266"/>
      <c r="H10" s="266"/>
      <c r="I10" s="119"/>
      <c r="J10" s="120"/>
      <c r="K10" s="120"/>
      <c r="L10" s="120"/>
      <c r="M10" s="120"/>
      <c r="N10" s="121"/>
      <c r="O10" s="120"/>
      <c r="P10" s="120"/>
      <c r="Q10" s="120"/>
      <c r="R10" s="121"/>
      <c r="T10" s="72">
        <v>7</v>
      </c>
      <c r="U10" s="72">
        <f t="shared" si="0"/>
        <v>1.2566370614359172</v>
      </c>
      <c r="V10" s="72">
        <f t="shared" si="5"/>
        <v>0</v>
      </c>
      <c r="W10" s="72">
        <f t="shared" si="6"/>
        <v>0</v>
      </c>
      <c r="AB10" s="75">
        <f t="shared" si="1"/>
        <v>0</v>
      </c>
      <c r="AC10" s="72">
        <f t="shared" si="2"/>
        <v>0</v>
      </c>
      <c r="AH10" s="75">
        <f t="shared" si="3"/>
        <v>0</v>
      </c>
      <c r="AI10" s="72">
        <f t="shared" si="4"/>
        <v>0</v>
      </c>
    </row>
    <row r="11" spans="1:39" x14ac:dyDescent="0.2">
      <c r="A11" s="78" t="s">
        <v>17</v>
      </c>
      <c r="B11" s="79"/>
      <c r="C11" s="277" t="s">
        <v>235</v>
      </c>
      <c r="D11" s="278"/>
      <c r="E11" s="78"/>
      <c r="F11" s="79"/>
      <c r="G11" s="79"/>
      <c r="H11" s="120"/>
      <c r="I11" s="119"/>
      <c r="J11" s="120"/>
      <c r="K11" s="120"/>
      <c r="L11" s="120"/>
      <c r="M11" s="120"/>
      <c r="N11" s="121"/>
      <c r="O11" s="120"/>
      <c r="P11" s="120"/>
      <c r="Q11" s="120"/>
      <c r="R11" s="121"/>
      <c r="T11" s="72">
        <v>8</v>
      </c>
      <c r="U11" s="72">
        <f t="shared" si="0"/>
        <v>1.4361566416410483</v>
      </c>
      <c r="V11" s="72">
        <f t="shared" si="5"/>
        <v>0</v>
      </c>
      <c r="W11" s="72">
        <f t="shared" si="6"/>
        <v>0</v>
      </c>
      <c r="AB11" s="75">
        <f t="shared" si="1"/>
        <v>0</v>
      </c>
      <c r="AC11" s="72">
        <f t="shared" si="2"/>
        <v>0</v>
      </c>
      <c r="AH11" s="75">
        <f t="shared" si="3"/>
        <v>0</v>
      </c>
      <c r="AI11" s="72">
        <f t="shared" si="4"/>
        <v>0</v>
      </c>
    </row>
    <row r="12" spans="1:39" ht="14.25" x14ac:dyDescent="0.2">
      <c r="A12" s="78" t="s">
        <v>144</v>
      </c>
      <c r="B12" s="83" t="s">
        <v>180</v>
      </c>
      <c r="C12" s="79">
        <v>3.9760748437499998</v>
      </c>
      <c r="D12" s="74" t="s">
        <v>145</v>
      </c>
      <c r="E12" s="88" t="s">
        <v>156</v>
      </c>
      <c r="F12" s="79" t="s">
        <v>157</v>
      </c>
      <c r="G12" s="89">
        <v>0</v>
      </c>
      <c r="H12" s="120" t="s">
        <v>250</v>
      </c>
      <c r="I12" s="119"/>
      <c r="J12" s="120"/>
      <c r="K12" s="120"/>
      <c r="L12" s="120"/>
      <c r="M12" s="120"/>
      <c r="N12" s="121"/>
      <c r="O12" s="120"/>
      <c r="P12" s="120"/>
      <c r="Q12" s="120"/>
      <c r="R12" s="121"/>
      <c r="T12" s="72">
        <v>9</v>
      </c>
      <c r="U12" s="72">
        <f t="shared" si="0"/>
        <v>1.6156762218461793</v>
      </c>
      <c r="V12" s="72">
        <f t="shared" si="5"/>
        <v>0</v>
      </c>
      <c r="W12" s="72">
        <f t="shared" si="6"/>
        <v>0</v>
      </c>
      <c r="AB12" s="75">
        <f t="shared" si="1"/>
        <v>0</v>
      </c>
      <c r="AC12" s="72">
        <f t="shared" si="2"/>
        <v>0</v>
      </c>
      <c r="AH12" s="75">
        <f t="shared" si="3"/>
        <v>0</v>
      </c>
      <c r="AI12" s="72">
        <f t="shared" si="4"/>
        <v>0</v>
      </c>
    </row>
    <row r="13" spans="1:39" ht="13.5" thickBot="1" x14ac:dyDescent="0.25">
      <c r="A13" s="78" t="s">
        <v>146</v>
      </c>
      <c r="B13" s="79"/>
      <c r="C13" s="82">
        <v>0</v>
      </c>
      <c r="D13" s="162" t="s">
        <v>211</v>
      </c>
      <c r="E13" s="88" t="s">
        <v>156</v>
      </c>
      <c r="F13" s="79" t="s">
        <v>158</v>
      </c>
      <c r="G13" s="89">
        <v>0</v>
      </c>
      <c r="H13" s="163" t="s">
        <v>249</v>
      </c>
      <c r="I13" s="117"/>
      <c r="J13" s="118"/>
      <c r="K13" s="118"/>
      <c r="L13" s="118"/>
      <c r="M13" s="118"/>
      <c r="N13" s="87"/>
      <c r="O13" s="118"/>
      <c r="P13" s="118"/>
      <c r="Q13" s="118"/>
      <c r="R13" s="87"/>
      <c r="T13" s="72">
        <v>10</v>
      </c>
      <c r="U13" s="72">
        <f t="shared" si="0"/>
        <v>1.7951958020513104</v>
      </c>
      <c r="V13" s="72">
        <f t="shared" si="5"/>
        <v>0</v>
      </c>
      <c r="W13" s="72">
        <f t="shared" si="6"/>
        <v>0</v>
      </c>
      <c r="AB13" s="75">
        <f t="shared" si="1"/>
        <v>0</v>
      </c>
      <c r="AC13" s="72">
        <f t="shared" si="2"/>
        <v>0</v>
      </c>
      <c r="AH13" s="75">
        <f t="shared" si="3"/>
        <v>0</v>
      </c>
      <c r="AI13" s="72">
        <f t="shared" si="4"/>
        <v>0</v>
      </c>
    </row>
    <row r="14" spans="1:39" ht="20.25" x14ac:dyDescent="0.3">
      <c r="A14" s="78" t="s">
        <v>18</v>
      </c>
      <c r="B14" s="79"/>
      <c r="C14" s="165">
        <v>0</v>
      </c>
      <c r="D14" s="162" t="s">
        <v>212</v>
      </c>
      <c r="E14" s="78" t="s">
        <v>159</v>
      </c>
      <c r="F14" s="79" t="s">
        <v>160</v>
      </c>
      <c r="G14" s="91">
        <v>0</v>
      </c>
      <c r="H14" s="80" t="s">
        <v>251</v>
      </c>
      <c r="J14" s="147"/>
      <c r="K14" s="147"/>
      <c r="L14" s="147"/>
      <c r="M14" s="147"/>
      <c r="N14" s="283" t="s">
        <v>182</v>
      </c>
      <c r="O14" s="284"/>
      <c r="P14" s="284"/>
      <c r="Q14" s="284"/>
      <c r="R14" s="285"/>
      <c r="T14" s="72">
        <v>11</v>
      </c>
      <c r="U14" s="72">
        <f t="shared" si="0"/>
        <v>1.9747153822564414</v>
      </c>
      <c r="V14" s="72">
        <f t="shared" si="5"/>
        <v>0</v>
      </c>
      <c r="W14" s="72">
        <f t="shared" si="6"/>
        <v>0</v>
      </c>
      <c r="AB14" s="75">
        <f t="shared" si="1"/>
        <v>0</v>
      </c>
      <c r="AC14" s="72">
        <f t="shared" si="2"/>
        <v>0</v>
      </c>
      <c r="AH14" s="75">
        <f t="shared" si="3"/>
        <v>0</v>
      </c>
      <c r="AI14" s="72">
        <f t="shared" si="4"/>
        <v>0</v>
      </c>
    </row>
    <row r="15" spans="1:39" ht="13.5" thickBot="1" x14ac:dyDescent="0.25">
      <c r="A15" s="236" t="s">
        <v>200</v>
      </c>
      <c r="B15" s="237"/>
      <c r="C15" s="286"/>
      <c r="D15" s="287"/>
      <c r="E15" s="78" t="s">
        <v>161</v>
      </c>
      <c r="F15" s="79" t="s">
        <v>44</v>
      </c>
      <c r="G15" s="90">
        <v>0</v>
      </c>
      <c r="H15" s="80" t="s">
        <v>252</v>
      </c>
      <c r="M15" s="53"/>
      <c r="N15" s="115" t="s">
        <v>220</v>
      </c>
      <c r="O15" s="116"/>
      <c r="P15" s="282">
        <v>1000000</v>
      </c>
      <c r="Q15" s="282"/>
      <c r="R15" s="121"/>
      <c r="T15" s="72">
        <v>12</v>
      </c>
      <c r="U15" s="72">
        <f t="shared" si="0"/>
        <v>2.1542349624615724</v>
      </c>
      <c r="V15" s="72">
        <f t="shared" si="5"/>
        <v>0</v>
      </c>
      <c r="W15" s="72">
        <f t="shared" si="6"/>
        <v>0</v>
      </c>
      <c r="AB15" s="75">
        <f t="shared" si="1"/>
        <v>0</v>
      </c>
      <c r="AC15" s="72">
        <f t="shared" si="2"/>
        <v>0</v>
      </c>
      <c r="AH15" s="75">
        <f t="shared" si="3"/>
        <v>0</v>
      </c>
      <c r="AI15" s="72">
        <f t="shared" si="4"/>
        <v>0</v>
      </c>
    </row>
    <row r="16" spans="1:39" x14ac:dyDescent="0.2">
      <c r="A16" s="264" t="s">
        <v>133</v>
      </c>
      <c r="B16" s="264"/>
      <c r="C16" s="264"/>
      <c r="D16" s="264"/>
      <c r="E16" s="78" t="s">
        <v>162</v>
      </c>
      <c r="F16" s="79" t="s">
        <v>44</v>
      </c>
      <c r="G16" s="90">
        <v>0</v>
      </c>
      <c r="H16" s="164" t="s">
        <v>253</v>
      </c>
      <c r="I16" s="78"/>
      <c r="J16" s="79"/>
      <c r="K16" s="79"/>
      <c r="L16" s="79"/>
      <c r="M16" s="79"/>
      <c r="N16" s="119"/>
      <c r="O16" s="120"/>
      <c r="P16" s="120"/>
      <c r="Q16" s="120"/>
      <c r="R16" s="121"/>
      <c r="T16" s="72">
        <v>13</v>
      </c>
      <c r="U16" s="72">
        <f t="shared" si="0"/>
        <v>2.3337545426667035</v>
      </c>
      <c r="V16" s="72">
        <f t="shared" si="5"/>
        <v>0</v>
      </c>
      <c r="W16" s="72">
        <f t="shared" si="6"/>
        <v>0</v>
      </c>
      <c r="AB16" s="75">
        <f t="shared" si="1"/>
        <v>0</v>
      </c>
      <c r="AC16" s="72">
        <f t="shared" si="2"/>
        <v>0</v>
      </c>
      <c r="AH16" s="75">
        <f t="shared" si="3"/>
        <v>0</v>
      </c>
      <c r="AI16" s="72">
        <f t="shared" si="4"/>
        <v>0</v>
      </c>
    </row>
    <row r="17" spans="1:35" x14ac:dyDescent="0.2">
      <c r="A17" s="266"/>
      <c r="B17" s="266"/>
      <c r="C17" s="266"/>
      <c r="D17" s="266"/>
      <c r="E17" s="88" t="s">
        <v>138</v>
      </c>
      <c r="F17" s="79" t="s">
        <v>41</v>
      </c>
      <c r="G17" s="90">
        <v>0</v>
      </c>
      <c r="H17" s="80" t="s">
        <v>254</v>
      </c>
      <c r="I17" s="65"/>
      <c r="J17" s="66"/>
      <c r="K17" s="96"/>
      <c r="L17" s="79"/>
      <c r="M17" s="79"/>
      <c r="N17" s="119"/>
      <c r="O17" s="120"/>
      <c r="P17" s="120"/>
      <c r="Q17" s="120"/>
      <c r="R17" s="121"/>
      <c r="T17" s="72">
        <v>14</v>
      </c>
      <c r="U17" s="72">
        <f t="shared" si="0"/>
        <v>2.5132741228718345</v>
      </c>
      <c r="V17" s="72">
        <f t="shared" si="5"/>
        <v>0</v>
      </c>
      <c r="W17" s="72">
        <f t="shared" si="6"/>
        <v>0</v>
      </c>
      <c r="AB17" s="75">
        <f t="shared" si="1"/>
        <v>0</v>
      </c>
      <c r="AC17" s="72">
        <f t="shared" si="2"/>
        <v>0</v>
      </c>
      <c r="AH17" s="75">
        <f t="shared" si="3"/>
        <v>0</v>
      </c>
      <c r="AI17" s="72">
        <f t="shared" si="4"/>
        <v>0</v>
      </c>
    </row>
    <row r="18" spans="1:35" x14ac:dyDescent="0.2">
      <c r="A18" s="88" t="s">
        <v>181</v>
      </c>
      <c r="B18" s="83" t="s">
        <v>147</v>
      </c>
      <c r="C18" s="91">
        <v>0</v>
      </c>
      <c r="D18" s="79" t="s">
        <v>238</v>
      </c>
      <c r="E18" s="78" t="s">
        <v>163</v>
      </c>
      <c r="F18" s="79" t="s">
        <v>15</v>
      </c>
      <c r="G18" s="90">
        <v>0</v>
      </c>
      <c r="H18" s="80" t="s">
        <v>255</v>
      </c>
      <c r="I18" s="78"/>
      <c r="J18" s="79"/>
      <c r="K18" s="79"/>
      <c r="L18" s="79"/>
      <c r="M18" s="79"/>
      <c r="N18" s="119"/>
      <c r="O18" s="120"/>
      <c r="P18" s="120"/>
      <c r="Q18" s="120"/>
      <c r="R18" s="121"/>
      <c r="T18" s="72">
        <v>15</v>
      </c>
      <c r="U18" s="72">
        <f t="shared" si="0"/>
        <v>2.6927937030769655</v>
      </c>
      <c r="V18" s="72">
        <f t="shared" si="5"/>
        <v>0</v>
      </c>
      <c r="W18" s="72">
        <f t="shared" si="6"/>
        <v>0</v>
      </c>
      <c r="AB18" s="75">
        <f t="shared" si="1"/>
        <v>0</v>
      </c>
      <c r="AC18" s="72">
        <f t="shared" si="2"/>
        <v>0</v>
      </c>
      <c r="AH18" s="75">
        <f t="shared" si="3"/>
        <v>0</v>
      </c>
      <c r="AI18" s="72">
        <f t="shared" si="4"/>
        <v>0</v>
      </c>
    </row>
    <row r="19" spans="1:35" x14ac:dyDescent="0.2">
      <c r="A19" s="88" t="s">
        <v>135</v>
      </c>
      <c r="B19" s="83" t="s">
        <v>147</v>
      </c>
      <c r="C19" s="91">
        <v>0</v>
      </c>
      <c r="D19" s="83" t="s">
        <v>239</v>
      </c>
      <c r="E19" s="78" t="s">
        <v>164</v>
      </c>
      <c r="F19" s="79" t="s">
        <v>15</v>
      </c>
      <c r="G19" s="165">
        <v>0</v>
      </c>
      <c r="H19" s="80" t="s">
        <v>256</v>
      </c>
      <c r="I19" s="78"/>
      <c r="J19" s="79"/>
      <c r="K19" s="79"/>
      <c r="L19" s="79"/>
      <c r="M19" s="79"/>
      <c r="N19" s="119"/>
      <c r="O19" s="120"/>
      <c r="P19" s="120"/>
      <c r="Q19" s="120"/>
      <c r="R19" s="121"/>
      <c r="T19" s="72">
        <v>16</v>
      </c>
      <c r="U19" s="72">
        <f t="shared" si="0"/>
        <v>2.8723132832820966</v>
      </c>
      <c r="V19" s="72">
        <f t="shared" si="5"/>
        <v>0</v>
      </c>
      <c r="W19" s="72">
        <f t="shared" si="6"/>
        <v>0</v>
      </c>
      <c r="AB19" s="75">
        <f t="shared" si="1"/>
        <v>0</v>
      </c>
      <c r="AC19" s="72">
        <f t="shared" si="2"/>
        <v>0</v>
      </c>
      <c r="AH19" s="75">
        <f t="shared" si="3"/>
        <v>0</v>
      </c>
      <c r="AI19" s="72">
        <f t="shared" si="4"/>
        <v>0</v>
      </c>
    </row>
    <row r="20" spans="1:35" x14ac:dyDescent="0.2">
      <c r="A20" s="92" t="s">
        <v>148</v>
      </c>
      <c r="B20" s="79"/>
      <c r="C20" s="91">
        <v>0</v>
      </c>
      <c r="D20" s="83" t="s">
        <v>240</v>
      </c>
      <c r="E20" s="279" t="s">
        <v>165</v>
      </c>
      <c r="F20" s="280"/>
      <c r="G20" s="275"/>
      <c r="H20" s="276"/>
      <c r="I20" s="78"/>
      <c r="J20" s="79"/>
      <c r="K20" s="79"/>
      <c r="L20" s="79"/>
      <c r="M20" s="79"/>
      <c r="N20" s="119"/>
      <c r="O20" s="120"/>
      <c r="P20" s="120"/>
      <c r="Q20" s="120"/>
      <c r="R20" s="121"/>
      <c r="T20" s="72">
        <v>17</v>
      </c>
      <c r="U20" s="72">
        <f t="shared" si="0"/>
        <v>3.0518328634872276</v>
      </c>
      <c r="V20" s="72">
        <f t="shared" si="5"/>
        <v>0</v>
      </c>
      <c r="W20" s="72">
        <f t="shared" si="6"/>
        <v>0</v>
      </c>
      <c r="AB20" s="75">
        <f t="shared" si="1"/>
        <v>0</v>
      </c>
      <c r="AC20" s="72">
        <f t="shared" si="2"/>
        <v>0</v>
      </c>
      <c r="AH20" s="75">
        <f t="shared" si="3"/>
        <v>0</v>
      </c>
      <c r="AI20" s="72">
        <f t="shared" si="4"/>
        <v>0</v>
      </c>
    </row>
    <row r="21" spans="1:35" x14ac:dyDescent="0.2">
      <c r="A21" s="92" t="s">
        <v>7</v>
      </c>
      <c r="B21" s="83" t="s">
        <v>15</v>
      </c>
      <c r="C21" s="93">
        <v>0</v>
      </c>
      <c r="D21" s="83" t="s">
        <v>241</v>
      </c>
      <c r="E21" s="78"/>
      <c r="F21" s="79"/>
      <c r="G21" s="79"/>
      <c r="H21" s="80"/>
      <c r="I21" s="78"/>
      <c r="J21" s="79"/>
      <c r="K21" s="79"/>
      <c r="L21" s="79"/>
      <c r="M21" s="79"/>
      <c r="N21" s="119"/>
      <c r="O21" s="120"/>
      <c r="P21" s="120"/>
      <c r="Q21" s="120"/>
      <c r="R21" s="121"/>
      <c r="T21" s="72">
        <v>18</v>
      </c>
      <c r="U21" s="72">
        <f t="shared" si="0"/>
        <v>3.2313524436923586</v>
      </c>
      <c r="V21" s="72">
        <f t="shared" si="5"/>
        <v>0</v>
      </c>
      <c r="W21" s="72">
        <f t="shared" si="6"/>
        <v>0</v>
      </c>
      <c r="AB21" s="75">
        <f t="shared" si="1"/>
        <v>0</v>
      </c>
      <c r="AC21" s="72">
        <f t="shared" si="2"/>
        <v>0</v>
      </c>
      <c r="AH21" s="75">
        <f t="shared" si="3"/>
        <v>0</v>
      </c>
      <c r="AI21" s="72">
        <f t="shared" si="4"/>
        <v>0</v>
      </c>
    </row>
    <row r="22" spans="1:35" x14ac:dyDescent="0.2">
      <c r="A22" s="78" t="s">
        <v>21</v>
      </c>
      <c r="B22" s="79"/>
      <c r="C22" s="161">
        <v>0</v>
      </c>
      <c r="D22" s="79" t="s">
        <v>242</v>
      </c>
      <c r="E22" s="88" t="s">
        <v>166</v>
      </c>
      <c r="F22" s="79" t="s">
        <v>157</v>
      </c>
      <c r="G22" s="89">
        <v>0</v>
      </c>
      <c r="H22" s="163" t="s">
        <v>257</v>
      </c>
      <c r="I22" s="78"/>
      <c r="J22" s="79"/>
      <c r="K22" s="79"/>
      <c r="L22" s="79"/>
      <c r="M22" s="79"/>
      <c r="N22" s="119"/>
      <c r="O22" s="120"/>
      <c r="P22" s="120"/>
      <c r="Q22" s="120"/>
      <c r="R22" s="121"/>
      <c r="T22" s="72">
        <v>19</v>
      </c>
      <c r="U22" s="72">
        <f t="shared" si="0"/>
        <v>3.4108720238974897</v>
      </c>
      <c r="V22" s="72">
        <f t="shared" si="5"/>
        <v>0</v>
      </c>
      <c r="W22" s="72">
        <f t="shared" si="6"/>
        <v>0</v>
      </c>
      <c r="AB22" s="75">
        <f t="shared" si="1"/>
        <v>0</v>
      </c>
      <c r="AC22" s="72">
        <f t="shared" si="2"/>
        <v>0</v>
      </c>
      <c r="AH22" s="75">
        <f t="shared" si="3"/>
        <v>0</v>
      </c>
      <c r="AI22" s="72">
        <f t="shared" si="4"/>
        <v>0</v>
      </c>
    </row>
    <row r="23" spans="1:35" x14ac:dyDescent="0.2">
      <c r="A23" s="78" t="s">
        <v>149</v>
      </c>
      <c r="B23" s="79" t="s">
        <v>15</v>
      </c>
      <c r="C23" s="79">
        <v>0</v>
      </c>
      <c r="D23" s="79" t="s">
        <v>243</v>
      </c>
      <c r="E23" s="88" t="s">
        <v>166</v>
      </c>
      <c r="F23" s="79" t="s">
        <v>158</v>
      </c>
      <c r="G23" s="89">
        <v>0</v>
      </c>
      <c r="H23" s="163" t="s">
        <v>258</v>
      </c>
      <c r="I23" s="78"/>
      <c r="J23" s="79"/>
      <c r="K23" s="79"/>
      <c r="L23" s="79"/>
      <c r="M23" s="79"/>
      <c r="N23" s="119"/>
      <c r="O23" s="120"/>
      <c r="P23" s="120"/>
      <c r="Q23" s="120"/>
      <c r="R23" s="121"/>
      <c r="T23" s="72">
        <v>20</v>
      </c>
      <c r="U23" s="72">
        <f t="shared" si="0"/>
        <v>3.5903916041026207</v>
      </c>
      <c r="V23" s="72">
        <f t="shared" si="5"/>
        <v>0</v>
      </c>
      <c r="W23" s="72">
        <f t="shared" si="6"/>
        <v>0</v>
      </c>
      <c r="AB23" s="75">
        <f t="shared" si="1"/>
        <v>0</v>
      </c>
      <c r="AC23" s="72">
        <f t="shared" si="2"/>
        <v>0</v>
      </c>
      <c r="AH23" s="75">
        <f t="shared" si="3"/>
        <v>0</v>
      </c>
      <c r="AI23" s="72">
        <f t="shared" si="4"/>
        <v>0</v>
      </c>
    </row>
    <row r="24" spans="1:35" x14ac:dyDescent="0.2">
      <c r="A24" s="78" t="s">
        <v>143</v>
      </c>
      <c r="B24" s="79" t="s">
        <v>15</v>
      </c>
      <c r="C24" s="79">
        <v>36.833333333333336</v>
      </c>
      <c r="D24" s="79" t="s">
        <v>244</v>
      </c>
      <c r="E24" s="78" t="s">
        <v>167</v>
      </c>
      <c r="F24" s="79" t="s">
        <v>160</v>
      </c>
      <c r="G24" s="89">
        <v>0</v>
      </c>
      <c r="H24" s="164" t="s">
        <v>259</v>
      </c>
      <c r="I24" s="78"/>
      <c r="J24" s="79"/>
      <c r="K24" s="79"/>
      <c r="L24" s="79"/>
      <c r="M24" s="79"/>
      <c r="N24" s="119"/>
      <c r="O24" s="120"/>
      <c r="P24" s="120"/>
      <c r="Q24" s="120"/>
      <c r="R24" s="121"/>
      <c r="T24" s="72">
        <v>21</v>
      </c>
      <c r="U24" s="72">
        <f t="shared" si="0"/>
        <v>3.7699111843077517</v>
      </c>
      <c r="V24" s="72">
        <f t="shared" si="5"/>
        <v>0</v>
      </c>
      <c r="W24" s="72">
        <f t="shared" si="6"/>
        <v>0</v>
      </c>
      <c r="AB24" s="75">
        <f t="shared" si="1"/>
        <v>0</v>
      </c>
      <c r="AC24" s="72">
        <f t="shared" si="2"/>
        <v>0</v>
      </c>
      <c r="AH24" s="75">
        <f t="shared" si="3"/>
        <v>0</v>
      </c>
      <c r="AI24" s="72">
        <f t="shared" si="4"/>
        <v>0</v>
      </c>
    </row>
    <row r="25" spans="1:35" x14ac:dyDescent="0.2">
      <c r="A25" s="78" t="s">
        <v>150</v>
      </c>
      <c r="B25" s="79" t="s">
        <v>15</v>
      </c>
      <c r="C25" s="89">
        <v>0</v>
      </c>
      <c r="D25" s="99" t="s">
        <v>245</v>
      </c>
      <c r="E25" s="78" t="s">
        <v>161</v>
      </c>
      <c r="F25" s="79" t="s">
        <v>44</v>
      </c>
      <c r="G25" s="90">
        <v>0</v>
      </c>
      <c r="H25" s="164" t="s">
        <v>260</v>
      </c>
      <c r="I25" s="78"/>
      <c r="J25" s="79"/>
      <c r="K25" s="79"/>
      <c r="L25" s="79"/>
      <c r="M25" s="79"/>
      <c r="N25" s="119"/>
      <c r="O25" s="120"/>
      <c r="P25" s="120"/>
      <c r="Q25" s="120"/>
      <c r="R25" s="121"/>
      <c r="T25" s="72">
        <v>22</v>
      </c>
      <c r="U25" s="72">
        <f t="shared" si="0"/>
        <v>3.9494307645128828</v>
      </c>
      <c r="V25" s="72">
        <f t="shared" si="5"/>
        <v>0</v>
      </c>
      <c r="W25" s="72">
        <f t="shared" si="6"/>
        <v>0</v>
      </c>
      <c r="AB25" s="75">
        <f t="shared" si="1"/>
        <v>0</v>
      </c>
      <c r="AC25" s="72">
        <f t="shared" si="2"/>
        <v>0</v>
      </c>
      <c r="AH25" s="75">
        <f t="shared" si="3"/>
        <v>0</v>
      </c>
      <c r="AI25" s="72">
        <f t="shared" si="4"/>
        <v>0</v>
      </c>
    </row>
    <row r="26" spans="1:35" x14ac:dyDescent="0.2">
      <c r="A26" s="78" t="s">
        <v>151</v>
      </c>
      <c r="B26" s="79" t="s">
        <v>15</v>
      </c>
      <c r="C26" s="89">
        <v>0</v>
      </c>
      <c r="D26" s="99" t="s">
        <v>246</v>
      </c>
      <c r="E26" s="78" t="s">
        <v>162</v>
      </c>
      <c r="F26" s="79" t="s">
        <v>44</v>
      </c>
      <c r="G26" s="90">
        <v>0</v>
      </c>
      <c r="H26" s="164" t="s">
        <v>261</v>
      </c>
      <c r="I26" s="78"/>
      <c r="J26" s="79"/>
      <c r="K26" s="79"/>
      <c r="L26" s="79"/>
      <c r="M26" s="79"/>
      <c r="N26" s="119"/>
      <c r="O26" s="120"/>
      <c r="P26" s="120"/>
      <c r="Q26" s="120"/>
      <c r="R26" s="121"/>
      <c r="T26" s="72">
        <v>23</v>
      </c>
      <c r="U26" s="72">
        <f t="shared" si="0"/>
        <v>4.1289503447180138</v>
      </c>
      <c r="V26" s="72">
        <f t="shared" si="5"/>
        <v>0</v>
      </c>
      <c r="W26" s="72">
        <f t="shared" si="6"/>
        <v>0</v>
      </c>
      <c r="AB26" s="75">
        <f t="shared" si="1"/>
        <v>0</v>
      </c>
      <c r="AC26" s="72">
        <f t="shared" si="2"/>
        <v>0</v>
      </c>
      <c r="AH26" s="75">
        <f t="shared" si="3"/>
        <v>0</v>
      </c>
      <c r="AI26" s="72">
        <f t="shared" si="4"/>
        <v>0</v>
      </c>
    </row>
    <row r="27" spans="1:35" x14ac:dyDescent="0.2">
      <c r="A27" s="279" t="s">
        <v>34</v>
      </c>
      <c r="B27" s="280"/>
      <c r="C27" s="290"/>
      <c r="D27" s="291"/>
      <c r="E27" s="88" t="s">
        <v>40</v>
      </c>
      <c r="F27" s="79" t="s">
        <v>41</v>
      </c>
      <c r="G27" s="90">
        <v>0</v>
      </c>
      <c r="H27" s="164" t="s">
        <v>254</v>
      </c>
      <c r="I27" s="78"/>
      <c r="J27" s="79"/>
      <c r="K27" s="79"/>
      <c r="L27" s="79"/>
      <c r="M27" s="79"/>
      <c r="N27" s="119"/>
      <c r="O27" s="120"/>
      <c r="P27" s="120"/>
      <c r="Q27" s="120"/>
      <c r="R27" s="121"/>
      <c r="T27" s="72">
        <v>24</v>
      </c>
      <c r="U27" s="72">
        <f t="shared" si="0"/>
        <v>4.3084699249231448</v>
      </c>
      <c r="V27" s="72">
        <f t="shared" si="5"/>
        <v>0</v>
      </c>
      <c r="W27" s="72">
        <f t="shared" si="6"/>
        <v>0</v>
      </c>
      <c r="AB27" s="75">
        <f t="shared" si="1"/>
        <v>0</v>
      </c>
      <c r="AC27" s="72">
        <f t="shared" si="2"/>
        <v>0</v>
      </c>
      <c r="AH27" s="75">
        <f t="shared" si="3"/>
        <v>0</v>
      </c>
      <c r="AI27" s="72">
        <f t="shared" si="4"/>
        <v>0</v>
      </c>
    </row>
    <row r="28" spans="1:35" x14ac:dyDescent="0.2">
      <c r="A28" s="288" t="s">
        <v>152</v>
      </c>
      <c r="B28" s="289"/>
      <c r="C28" s="289"/>
      <c r="D28" s="289"/>
      <c r="E28" s="78" t="s">
        <v>168</v>
      </c>
      <c r="F28" s="79" t="s">
        <v>15</v>
      </c>
      <c r="G28" s="90">
        <v>0</v>
      </c>
      <c r="H28" s="164" t="s">
        <v>255</v>
      </c>
      <c r="I28" s="78"/>
      <c r="J28" s="79"/>
      <c r="K28" s="79"/>
      <c r="L28" s="79"/>
      <c r="M28" s="79"/>
      <c r="N28" s="119"/>
      <c r="O28" s="120"/>
      <c r="P28" s="120"/>
      <c r="Q28" s="120"/>
      <c r="R28" s="121"/>
      <c r="T28" s="72">
        <v>25</v>
      </c>
      <c r="U28" s="72">
        <f t="shared" si="0"/>
        <v>4.4879895051282759</v>
      </c>
      <c r="V28" s="72">
        <f t="shared" si="5"/>
        <v>0</v>
      </c>
      <c r="W28" s="72">
        <f t="shared" si="6"/>
        <v>0</v>
      </c>
      <c r="AB28" s="75">
        <f t="shared" si="1"/>
        <v>0</v>
      </c>
      <c r="AC28" s="72">
        <f t="shared" si="2"/>
        <v>0</v>
      </c>
      <c r="AH28" s="75">
        <f t="shared" si="3"/>
        <v>0</v>
      </c>
      <c r="AI28" s="72">
        <f t="shared" si="4"/>
        <v>0</v>
      </c>
    </row>
    <row r="29" spans="1:35" x14ac:dyDescent="0.2">
      <c r="A29" s="78" t="s">
        <v>9</v>
      </c>
      <c r="B29" s="79" t="s">
        <v>153</v>
      </c>
      <c r="C29" s="165">
        <v>0</v>
      </c>
      <c r="D29" s="79" t="s">
        <v>247</v>
      </c>
      <c r="E29" s="78" t="s">
        <v>169</v>
      </c>
      <c r="F29" s="79" t="s">
        <v>15</v>
      </c>
      <c r="G29" s="165">
        <v>0</v>
      </c>
      <c r="H29" s="164" t="s">
        <v>256</v>
      </c>
      <c r="I29" s="78"/>
      <c r="J29" s="79"/>
      <c r="K29" s="79"/>
      <c r="L29" s="79"/>
      <c r="M29" s="79"/>
      <c r="N29" s="119"/>
      <c r="O29" s="120"/>
      <c r="P29" s="120"/>
      <c r="Q29" s="120"/>
      <c r="R29" s="121"/>
      <c r="T29" s="72">
        <v>26</v>
      </c>
      <c r="U29" s="72">
        <f t="shared" si="0"/>
        <v>4.6675090853334069</v>
      </c>
      <c r="V29" s="72">
        <f t="shared" si="5"/>
        <v>0</v>
      </c>
      <c r="W29" s="72">
        <f t="shared" si="6"/>
        <v>0</v>
      </c>
      <c r="AB29" s="75">
        <f t="shared" si="1"/>
        <v>0</v>
      </c>
      <c r="AC29" s="72">
        <f t="shared" si="2"/>
        <v>0</v>
      </c>
      <c r="AH29" s="75">
        <f t="shared" si="3"/>
        <v>0</v>
      </c>
      <c r="AI29" s="72">
        <f t="shared" si="4"/>
        <v>0</v>
      </c>
    </row>
    <row r="30" spans="1:35" x14ac:dyDescent="0.2">
      <c r="A30" s="88" t="s">
        <v>10</v>
      </c>
      <c r="B30" s="79" t="s">
        <v>154</v>
      </c>
      <c r="C30" s="165">
        <v>0</v>
      </c>
      <c r="D30" s="79" t="s">
        <v>226</v>
      </c>
      <c r="E30" s="279" t="s">
        <v>165</v>
      </c>
      <c r="F30" s="280"/>
      <c r="G30" s="275"/>
      <c r="H30" s="276"/>
      <c r="I30" s="78"/>
      <c r="J30" s="79"/>
      <c r="K30" s="79"/>
      <c r="L30" s="79"/>
      <c r="M30" s="79"/>
      <c r="N30" s="119"/>
      <c r="O30" s="120"/>
      <c r="P30" s="120"/>
      <c r="Q30" s="120"/>
      <c r="R30" s="121"/>
      <c r="T30" s="72">
        <v>27</v>
      </c>
      <c r="U30" s="72">
        <f t="shared" si="0"/>
        <v>4.847028665538538</v>
      </c>
      <c r="V30" s="72">
        <f t="shared" si="5"/>
        <v>0</v>
      </c>
      <c r="W30" s="72">
        <f t="shared" si="6"/>
        <v>0</v>
      </c>
      <c r="AB30" s="75">
        <f t="shared" si="1"/>
        <v>0</v>
      </c>
      <c r="AC30" s="72">
        <f t="shared" si="2"/>
        <v>0</v>
      </c>
      <c r="AH30" s="75">
        <f t="shared" si="3"/>
        <v>0</v>
      </c>
      <c r="AI30" s="72">
        <f t="shared" si="4"/>
        <v>0</v>
      </c>
    </row>
    <row r="31" spans="1:35" ht="13.5" thickBot="1" x14ac:dyDescent="0.25">
      <c r="A31" s="94" t="s">
        <v>9</v>
      </c>
      <c r="B31" s="95" t="s">
        <v>155</v>
      </c>
      <c r="C31" s="86">
        <f>C29*PI()/180</f>
        <v>0</v>
      </c>
      <c r="D31" s="95" t="s">
        <v>248</v>
      </c>
      <c r="E31" s="85"/>
      <c r="F31" s="86"/>
      <c r="G31" s="86"/>
      <c r="H31" s="87"/>
      <c r="I31" s="85"/>
      <c r="J31" s="86"/>
      <c r="K31" s="86"/>
      <c r="L31" s="86"/>
      <c r="M31" s="86"/>
      <c r="N31" s="117"/>
      <c r="O31" s="118"/>
      <c r="P31" s="118"/>
      <c r="Q31" s="118"/>
      <c r="R31" s="87"/>
      <c r="T31" s="72">
        <v>28</v>
      </c>
      <c r="U31" s="72">
        <f t="shared" si="0"/>
        <v>5.026548245743669</v>
      </c>
      <c r="V31" s="72">
        <f t="shared" si="5"/>
        <v>0</v>
      </c>
      <c r="W31" s="72">
        <f t="shared" si="6"/>
        <v>0</v>
      </c>
      <c r="AB31" s="75">
        <f t="shared" si="1"/>
        <v>0</v>
      </c>
      <c r="AC31" s="72">
        <f t="shared" si="2"/>
        <v>0</v>
      </c>
      <c r="AH31" s="75">
        <f t="shared" si="3"/>
        <v>0</v>
      </c>
      <c r="AI31" s="72">
        <f t="shared" si="4"/>
        <v>0</v>
      </c>
    </row>
    <row r="32" spans="1:35" x14ac:dyDescent="0.2">
      <c r="T32" s="72">
        <v>29</v>
      </c>
      <c r="U32" s="72">
        <f t="shared" si="0"/>
        <v>5.2060678259488</v>
      </c>
      <c r="V32" s="72">
        <f t="shared" si="5"/>
        <v>0</v>
      </c>
      <c r="W32" s="72">
        <f t="shared" si="6"/>
        <v>0</v>
      </c>
      <c r="AB32" s="75">
        <f t="shared" si="1"/>
        <v>0</v>
      </c>
      <c r="AC32" s="72">
        <f t="shared" si="2"/>
        <v>0</v>
      </c>
      <c r="AH32" s="75">
        <f t="shared" si="3"/>
        <v>0</v>
      </c>
      <c r="AI32" s="72">
        <f t="shared" si="4"/>
        <v>0</v>
      </c>
    </row>
    <row r="33" spans="1:35" x14ac:dyDescent="0.2">
      <c r="T33" s="72">
        <v>30</v>
      </c>
      <c r="U33" s="72">
        <f t="shared" si="0"/>
        <v>5.3855874061539311</v>
      </c>
      <c r="V33" s="72">
        <f t="shared" si="5"/>
        <v>0</v>
      </c>
      <c r="W33" s="72">
        <f t="shared" si="6"/>
        <v>0</v>
      </c>
      <c r="AB33" s="75">
        <f t="shared" si="1"/>
        <v>0</v>
      </c>
      <c r="AC33" s="72">
        <f t="shared" si="2"/>
        <v>0</v>
      </c>
      <c r="AH33" s="75">
        <f t="shared" si="3"/>
        <v>0</v>
      </c>
      <c r="AI33" s="72">
        <f t="shared" si="4"/>
        <v>0</v>
      </c>
    </row>
    <row r="34" spans="1:35" ht="21" customHeight="1" x14ac:dyDescent="0.2">
      <c r="T34" s="72">
        <v>31</v>
      </c>
      <c r="U34" s="72">
        <f t="shared" si="0"/>
        <v>5.5651069863590621</v>
      </c>
      <c r="V34" s="72">
        <f t="shared" si="5"/>
        <v>0</v>
      </c>
      <c r="W34" s="72">
        <f t="shared" si="6"/>
        <v>0</v>
      </c>
      <c r="AB34" s="75">
        <f t="shared" si="1"/>
        <v>0</v>
      </c>
      <c r="AC34" s="72">
        <f t="shared" si="2"/>
        <v>0</v>
      </c>
      <c r="AH34" s="75">
        <f t="shared" si="3"/>
        <v>0</v>
      </c>
      <c r="AI34" s="72">
        <f t="shared" si="4"/>
        <v>0</v>
      </c>
    </row>
    <row r="35" spans="1:35" x14ac:dyDescent="0.2">
      <c r="T35" s="72">
        <v>32</v>
      </c>
      <c r="U35" s="72">
        <f t="shared" si="0"/>
        <v>5.7446265665641931</v>
      </c>
      <c r="V35" s="72">
        <f t="shared" si="5"/>
        <v>0</v>
      </c>
      <c r="W35" s="72">
        <f t="shared" si="6"/>
        <v>0</v>
      </c>
      <c r="AB35" s="75">
        <f t="shared" si="1"/>
        <v>0</v>
      </c>
      <c r="AC35" s="72">
        <f t="shared" si="2"/>
        <v>0</v>
      </c>
      <c r="AH35" s="75">
        <f t="shared" si="3"/>
        <v>0</v>
      </c>
      <c r="AI35" s="72">
        <f t="shared" si="4"/>
        <v>0</v>
      </c>
    </row>
    <row r="36" spans="1:35" x14ac:dyDescent="0.2">
      <c r="T36" s="72">
        <v>33</v>
      </c>
      <c r="U36" s="72">
        <f t="shared" si="0"/>
        <v>5.9241461467693242</v>
      </c>
      <c r="V36" s="72">
        <f t="shared" si="5"/>
        <v>0</v>
      </c>
      <c r="W36" s="72">
        <f t="shared" si="6"/>
        <v>0</v>
      </c>
      <c r="AB36" s="75">
        <f t="shared" si="1"/>
        <v>0</v>
      </c>
      <c r="AC36" s="72">
        <f t="shared" si="2"/>
        <v>0</v>
      </c>
      <c r="AH36" s="75">
        <f t="shared" si="3"/>
        <v>0</v>
      </c>
      <c r="AI36" s="72">
        <f t="shared" si="4"/>
        <v>0</v>
      </c>
    </row>
    <row r="37" spans="1:35" x14ac:dyDescent="0.2">
      <c r="T37" s="72">
        <v>34</v>
      </c>
      <c r="U37" s="72">
        <f t="shared" si="0"/>
        <v>6.1036657269744552</v>
      </c>
      <c r="V37" s="72">
        <f t="shared" si="5"/>
        <v>0</v>
      </c>
      <c r="W37" s="72">
        <f t="shared" si="6"/>
        <v>0</v>
      </c>
      <c r="AB37" s="75">
        <f t="shared" si="1"/>
        <v>0</v>
      </c>
      <c r="AC37" s="72">
        <f t="shared" si="2"/>
        <v>0</v>
      </c>
      <c r="AH37" s="75">
        <f t="shared" si="3"/>
        <v>0</v>
      </c>
      <c r="AI37" s="72">
        <f t="shared" si="4"/>
        <v>0</v>
      </c>
    </row>
    <row r="38" spans="1:35" x14ac:dyDescent="0.2">
      <c r="T38" s="72">
        <v>35</v>
      </c>
      <c r="U38" s="72">
        <f t="shared" si="0"/>
        <v>6.2831853071795862</v>
      </c>
      <c r="V38" s="72">
        <f t="shared" si="5"/>
        <v>0</v>
      </c>
      <c r="W38" s="72">
        <f t="shared" si="6"/>
        <v>0</v>
      </c>
      <c r="AB38" s="75">
        <f t="shared" si="1"/>
        <v>0</v>
      </c>
      <c r="AC38" s="72">
        <f t="shared" si="2"/>
        <v>0</v>
      </c>
      <c r="AH38" s="75">
        <f t="shared" si="3"/>
        <v>0</v>
      </c>
      <c r="AI38" s="72">
        <f t="shared" si="4"/>
        <v>0</v>
      </c>
    </row>
    <row r="41" spans="1:35" ht="18" x14ac:dyDescent="0.25">
      <c r="A41" s="198" t="s">
        <v>119</v>
      </c>
      <c r="B41" s="198"/>
      <c r="C41" s="198"/>
      <c r="D41" s="198"/>
    </row>
    <row r="42" spans="1:35" x14ac:dyDescent="0.2">
      <c r="A42" s="54" t="s">
        <v>73</v>
      </c>
      <c r="B42" s="54"/>
      <c r="C42" s="54">
        <f>VLOOKUP(G3,Hoja2!A2:F22,2)</f>
        <v>0.47601521250122947</v>
      </c>
      <c r="D42" s="56"/>
    </row>
    <row r="43" spans="1:35" x14ac:dyDescent="0.2">
      <c r="A43" s="54" t="s">
        <v>125</v>
      </c>
      <c r="B43" s="54"/>
      <c r="C43" s="55">
        <f>(VLOOKUP(G3,Hoja2!A2:F22,3)*P15+VLOOKUP(G3,Hoja2!A2:F22,4))*C45</f>
        <v>0.26395208778715407</v>
      </c>
      <c r="D43" s="56"/>
    </row>
    <row r="44" spans="1:35" x14ac:dyDescent="0.2">
      <c r="A44" s="54" t="s">
        <v>123</v>
      </c>
      <c r="B44" s="54"/>
      <c r="C44" s="54">
        <f>VLOOKUP(G3,Hoja2!A2:F22,5)</f>
        <v>0.71964387134949526</v>
      </c>
      <c r="D44" s="56"/>
    </row>
    <row r="45" spans="1:35" x14ac:dyDescent="0.2">
      <c r="A45" s="54" t="s">
        <v>126</v>
      </c>
      <c r="B45" s="54"/>
      <c r="C45" s="54">
        <f>IF(F8,1,VLOOKUP(G3,Hoja2!A2:F22,6))</f>
        <v>0.82585705604597537</v>
      </c>
      <c r="D45" s="56"/>
    </row>
    <row r="47" spans="1:35" x14ac:dyDescent="0.2">
      <c r="B47" s="72">
        <v>0</v>
      </c>
      <c r="C47" s="72">
        <v>0</v>
      </c>
    </row>
    <row r="48" spans="1:35" x14ac:dyDescent="0.2">
      <c r="B48" s="72">
        <v>1200</v>
      </c>
      <c r="C48" s="72">
        <v>1200</v>
      </c>
    </row>
    <row r="51" spans="1:3" x14ac:dyDescent="0.2">
      <c r="B51" s="72">
        <f>G17</f>
        <v>0</v>
      </c>
      <c r="C51" s="72">
        <f>B51</f>
        <v>0</v>
      </c>
    </row>
    <row r="52" spans="1:3" x14ac:dyDescent="0.2">
      <c r="B52" s="72">
        <f>B51</f>
        <v>0</v>
      </c>
      <c r="C52" s="72">
        <f>G27</f>
        <v>0</v>
      </c>
    </row>
    <row r="54" spans="1:3" x14ac:dyDescent="0.2">
      <c r="B54" s="72">
        <v>0</v>
      </c>
      <c r="C54" s="100">
        <f>C43*G7</f>
        <v>457.9568723107123</v>
      </c>
    </row>
    <row r="55" spans="1:3" x14ac:dyDescent="0.2">
      <c r="B55" s="72">
        <f>(C56-C54)/C44</f>
        <v>511.26610817788196</v>
      </c>
      <c r="C55" s="72">
        <f>C56</f>
        <v>825.88639368963311</v>
      </c>
    </row>
    <row r="56" spans="1:3" x14ac:dyDescent="0.2">
      <c r="B56" s="72">
        <f>C55</f>
        <v>825.88639368963311</v>
      </c>
      <c r="C56" s="72">
        <f>C42*G7</f>
        <v>825.88639368963311</v>
      </c>
    </row>
    <row r="59" spans="1:3" x14ac:dyDescent="0.2">
      <c r="A59" s="72" t="s">
        <v>218</v>
      </c>
    </row>
    <row r="60" spans="1:3" x14ac:dyDescent="0.2">
      <c r="B60" s="72">
        <f>G13</f>
        <v>0</v>
      </c>
      <c r="C60" s="72">
        <f>G14</f>
        <v>0</v>
      </c>
    </row>
    <row r="61" spans="1:3" x14ac:dyDescent="0.2">
      <c r="B61" s="72">
        <f>G23</f>
        <v>0</v>
      </c>
      <c r="C61" s="72">
        <f>G24</f>
        <v>0</v>
      </c>
    </row>
    <row r="77" spans="7:7" x14ac:dyDescent="0.2">
      <c r="G77" s="73"/>
    </row>
  </sheetData>
  <mergeCells count="29">
    <mergeCell ref="P15:Q15"/>
    <mergeCell ref="N14:R14"/>
    <mergeCell ref="A41:D41"/>
    <mergeCell ref="C15:D15"/>
    <mergeCell ref="A27:B27"/>
    <mergeCell ref="E30:F30"/>
    <mergeCell ref="G30:H30"/>
    <mergeCell ref="E20:F20"/>
    <mergeCell ref="A28:D28"/>
    <mergeCell ref="C27:D27"/>
    <mergeCell ref="A1:A2"/>
    <mergeCell ref="G20:H20"/>
    <mergeCell ref="C11:D11"/>
    <mergeCell ref="A15:B15"/>
    <mergeCell ref="A16:D17"/>
    <mergeCell ref="A6:D6"/>
    <mergeCell ref="AF1:AG1"/>
    <mergeCell ref="E9:H10"/>
    <mergeCell ref="AH1:AI1"/>
    <mergeCell ref="AJ1:AK1"/>
    <mergeCell ref="AL1:AM1"/>
    <mergeCell ref="V1:W1"/>
    <mergeCell ref="X1:Y1"/>
    <mergeCell ref="Z1:AA1"/>
    <mergeCell ref="AB1:AC1"/>
    <mergeCell ref="AD1:AE1"/>
    <mergeCell ref="E2:H2"/>
    <mergeCell ref="E3:F3"/>
    <mergeCell ref="B1:H1"/>
  </mergeCells>
  <pageMargins left="0.75" right="0.75" top="1" bottom="1" header="0" footer="0"/>
  <pageSetup paperSize="9" scale="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46" r:id="rId4" name="ShotPeening">
          <controlPr defaultSize="0" autoLine="0" autoPict="0" r:id="rId5">
            <anchor>
              <from>
                <xdr:col>4</xdr:col>
                <xdr:colOff>400050</xdr:colOff>
                <xdr:row>7</xdr:row>
                <xdr:rowOff>28575</xdr:rowOff>
              </from>
              <to>
                <xdr:col>6</xdr:col>
                <xdr:colOff>428625</xdr:colOff>
                <xdr:row>7</xdr:row>
                <xdr:rowOff>276225</xdr:rowOff>
              </to>
            </anchor>
          </controlPr>
        </control>
      </mc:Choice>
      <mc:Fallback>
        <control shapeId="18446" r:id="rId4" name="ShotPeening"/>
      </mc:Fallback>
    </mc:AlternateContent>
    <mc:AlternateContent xmlns:mc="http://schemas.openxmlformats.org/markup-compatibility/2006">
      <mc:Choice Requires="x14">
        <control shapeId="18440" r:id="rId6" name="ConPatas">
          <controlPr defaultSize="0" autoLine="0" r:id="rId7">
            <anchor moveWithCells="1">
              <from>
                <xdr:col>3</xdr:col>
                <xdr:colOff>1371600</xdr:colOff>
                <xdr:row>27</xdr:row>
                <xdr:rowOff>76200</xdr:rowOff>
              </from>
              <to>
                <xdr:col>3</xdr:col>
                <xdr:colOff>2419350</xdr:colOff>
                <xdr:row>30</xdr:row>
                <xdr:rowOff>104775</xdr:rowOff>
              </to>
            </anchor>
          </controlPr>
        </control>
      </mc:Choice>
      <mc:Fallback>
        <control shapeId="18440" r:id="rId6" name="ConPatas"/>
      </mc:Fallback>
    </mc:AlternateContent>
    <mc:AlternateContent xmlns:mc="http://schemas.openxmlformats.org/markup-compatibility/2006">
      <mc:Choice Requires="x14">
        <control shapeId="18438" r:id="rId8" name="SeccRectang">
          <controlPr defaultSize="0" autoLine="0" autoPict="0" r:id="rId9">
            <anchor moveWithCells="1">
              <from>
                <xdr:col>0</xdr:col>
                <xdr:colOff>85725</xdr:colOff>
                <xdr:row>7</xdr:row>
                <xdr:rowOff>66675</xdr:rowOff>
              </from>
              <to>
                <xdr:col>1</xdr:col>
                <xdr:colOff>657225</xdr:colOff>
                <xdr:row>7</xdr:row>
                <xdr:rowOff>247650</xdr:rowOff>
              </to>
            </anchor>
          </controlPr>
        </control>
      </mc:Choice>
      <mc:Fallback>
        <control shapeId="18438" r:id="rId8" name="SeccRectang"/>
      </mc:Fallback>
    </mc:AlternateContent>
    <mc:AlternateContent xmlns:mc="http://schemas.openxmlformats.org/markup-compatibility/2006">
      <mc:Choice Requires="x14">
        <control shapeId="18437" r:id="rId10" name="SeccRedonda">
          <controlPr defaultSize="0" autoLine="0" autoPict="0" r:id="rId11">
            <anchor moveWithCells="1">
              <from>
                <xdr:col>0</xdr:col>
                <xdr:colOff>85725</xdr:colOff>
                <xdr:row>5</xdr:row>
                <xdr:rowOff>47625</xdr:rowOff>
              </from>
              <to>
                <xdr:col>1</xdr:col>
                <xdr:colOff>657225</xdr:colOff>
                <xdr:row>5</xdr:row>
                <xdr:rowOff>219075</xdr:rowOff>
              </to>
            </anchor>
          </controlPr>
        </control>
      </mc:Choice>
      <mc:Fallback>
        <control shapeId="18437" r:id="rId10" name="SeccRedonda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Hoja2!$L$2:$L$90</xm:f>
          </x14:formula1>
          <xm:sqref>C7</xm:sqref>
        </x14:dataValidation>
        <x14:dataValidation type="list" allowBlank="1" showInputMessage="1" showErrorMessage="1">
          <x14:formula1>
            <xm:f>Hoja2!$A$2:$A$22</xm:f>
          </x14:formula1>
          <xm:sqref>G3</xm:sqref>
        </x14:dataValidation>
        <x14:dataValidation type="list" allowBlank="1" showInputMessage="1" showErrorMessage="1">
          <x14:formula1>
            <xm:f>Hoja2!$I$2:$I$4</xm:f>
          </x14:formula1>
          <xm:sqref>P15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90"/>
  <sheetViews>
    <sheetView workbookViewId="0">
      <selection activeCell="I14" sqref="I14:R14"/>
    </sheetView>
  </sheetViews>
  <sheetFormatPr defaultColWidth="11.42578125" defaultRowHeight="12.75" x14ac:dyDescent="0.2"/>
  <cols>
    <col min="1" max="1" width="15.28515625" bestFit="1" customWidth="1"/>
    <col min="2" max="10" width="11.42578125" style="8"/>
    <col min="11" max="11" width="2.42578125" style="8" customWidth="1"/>
    <col min="15" max="19" width="11.42578125" style="8"/>
  </cols>
  <sheetData>
    <row r="1" spans="1:20" ht="38.25" customHeight="1" x14ac:dyDescent="0.2">
      <c r="A1" s="3" t="s">
        <v>69</v>
      </c>
      <c r="B1" s="3" t="s">
        <v>74</v>
      </c>
      <c r="C1" s="43" t="s">
        <v>120</v>
      </c>
      <c r="D1" s="43" t="s">
        <v>122</v>
      </c>
      <c r="E1" s="43" t="s">
        <v>123</v>
      </c>
      <c r="F1" s="43" t="s">
        <v>124</v>
      </c>
      <c r="G1" s="3"/>
      <c r="H1" s="3"/>
      <c r="I1" s="43" t="s">
        <v>127</v>
      </c>
      <c r="J1" s="3"/>
      <c r="K1" s="9"/>
      <c r="L1" s="3" t="s">
        <v>68</v>
      </c>
      <c r="M1" t="s">
        <v>67</v>
      </c>
      <c r="N1" s="3"/>
      <c r="O1" s="292" t="s">
        <v>74</v>
      </c>
      <c r="P1" s="292"/>
      <c r="Q1" s="3" t="s">
        <v>72</v>
      </c>
      <c r="R1" s="292" t="s">
        <v>75</v>
      </c>
      <c r="S1" s="292"/>
      <c r="T1" s="3"/>
    </row>
    <row r="2" spans="1:20" x14ac:dyDescent="0.2">
      <c r="A2" t="s">
        <v>62</v>
      </c>
      <c r="B2" s="8">
        <v>0.47601521250122947</v>
      </c>
      <c r="C2" s="8">
        <v>-5.966634343598435E-9</v>
      </c>
      <c r="D2" s="8">
        <v>0.3255765303356476</v>
      </c>
      <c r="E2" s="8">
        <v>0.71964387134949526</v>
      </c>
      <c r="F2" s="8">
        <v>0.82585705604597537</v>
      </c>
      <c r="I2" s="8">
        <v>100000</v>
      </c>
      <c r="L2" s="2">
        <v>0.05</v>
      </c>
      <c r="M2" t="s">
        <v>45</v>
      </c>
      <c r="O2" s="8">
        <v>1.8599999999999998E-2</v>
      </c>
      <c r="P2" s="8">
        <v>1.0599000000000001</v>
      </c>
      <c r="Q2" s="8">
        <v>0.5</v>
      </c>
      <c r="R2" s="8">
        <v>-13.77</v>
      </c>
      <c r="S2" s="8">
        <v>119.83</v>
      </c>
    </row>
    <row r="3" spans="1:20" x14ac:dyDescent="0.2">
      <c r="A3" t="s">
        <v>63</v>
      </c>
      <c r="B3" s="13">
        <v>0.47601521250122947</v>
      </c>
      <c r="C3" s="13">
        <v>-5.966634343598435E-9</v>
      </c>
      <c r="D3" s="13">
        <v>0.3255765303356476</v>
      </c>
      <c r="E3" s="8">
        <v>0.71964387134949526</v>
      </c>
      <c r="F3" s="8">
        <v>0.82585705604597537</v>
      </c>
      <c r="I3" s="8">
        <v>1000000</v>
      </c>
      <c r="L3" s="2">
        <v>0.06</v>
      </c>
      <c r="M3" t="s">
        <v>45</v>
      </c>
      <c r="O3" s="8">
        <v>1.8599999999999998E-2</v>
      </c>
      <c r="P3" s="8">
        <v>1.0599000000000001</v>
      </c>
      <c r="Q3" s="8">
        <v>0.5</v>
      </c>
      <c r="R3" s="8">
        <v>-13.77</v>
      </c>
      <c r="S3" s="8">
        <v>119.83</v>
      </c>
    </row>
    <row r="4" spans="1:20" x14ac:dyDescent="0.2">
      <c r="A4" t="s">
        <v>64</v>
      </c>
      <c r="B4" s="13">
        <v>0.47601521250122947</v>
      </c>
      <c r="C4" s="13">
        <v>-5.966634343598435E-9</v>
      </c>
      <c r="D4" s="13">
        <v>0.3255765303356476</v>
      </c>
      <c r="E4" s="8">
        <v>0.71964387134949526</v>
      </c>
      <c r="F4" s="8">
        <v>0.82585705604597537</v>
      </c>
      <c r="I4" s="8">
        <v>10000000</v>
      </c>
      <c r="L4" s="2">
        <v>7.0000000000000007E-2</v>
      </c>
      <c r="M4" t="s">
        <v>45</v>
      </c>
      <c r="N4" s="213"/>
      <c r="O4" s="213"/>
      <c r="P4" s="8">
        <v>1.0599000000000001</v>
      </c>
      <c r="Q4" s="8">
        <v>0.5</v>
      </c>
      <c r="R4" s="8">
        <v>-13.77</v>
      </c>
      <c r="S4" s="8">
        <v>119.83</v>
      </c>
    </row>
    <row r="5" spans="1:20" x14ac:dyDescent="0.2">
      <c r="A5" t="s">
        <v>65</v>
      </c>
      <c r="B5" s="13">
        <v>0.47601521250122947</v>
      </c>
      <c r="C5" s="13">
        <v>-5.966634343598435E-9</v>
      </c>
      <c r="D5" s="13">
        <v>0.3255765303356476</v>
      </c>
      <c r="E5" s="8">
        <v>0.71964387134949526</v>
      </c>
      <c r="F5" s="8">
        <v>0.82585705604597537</v>
      </c>
      <c r="L5" s="2">
        <v>0.08</v>
      </c>
      <c r="M5" t="s">
        <v>45</v>
      </c>
      <c r="O5" s="8">
        <v>1.9E-2</v>
      </c>
      <c r="P5" s="8">
        <v>1.0599000000000001</v>
      </c>
      <c r="Q5" s="8">
        <v>0.5</v>
      </c>
      <c r="R5" s="8">
        <v>-13.77</v>
      </c>
      <c r="S5" s="8">
        <v>119.83</v>
      </c>
    </row>
    <row r="6" spans="1:20" x14ac:dyDescent="0.2">
      <c r="A6" t="s">
        <v>66</v>
      </c>
      <c r="B6" s="13">
        <v>0.47601521250122947</v>
      </c>
      <c r="C6" s="13">
        <v>-5.966634343598435E-9</v>
      </c>
      <c r="D6" s="13">
        <v>0.3255765303356476</v>
      </c>
      <c r="E6" s="8">
        <v>0.71964387134949526</v>
      </c>
      <c r="F6" s="8">
        <v>0.82585705604597537</v>
      </c>
      <c r="L6" s="2">
        <v>0.09</v>
      </c>
      <c r="M6" t="s">
        <v>45</v>
      </c>
      <c r="O6" s="8">
        <v>1.8599999999999998E-2</v>
      </c>
      <c r="P6" s="8">
        <v>1.0599000000000001</v>
      </c>
      <c r="Q6" s="8">
        <v>0.5</v>
      </c>
      <c r="R6" s="8">
        <v>-13.77</v>
      </c>
      <c r="S6" s="8">
        <v>119.83</v>
      </c>
    </row>
    <row r="7" spans="1:20" x14ac:dyDescent="0.2">
      <c r="A7" s="8" t="s">
        <v>76</v>
      </c>
      <c r="B7" s="8">
        <v>0.44348665515975177</v>
      </c>
      <c r="C7" s="8">
        <v>-8.8199669811428099E-9</v>
      </c>
      <c r="D7" s="8">
        <v>0.33516849274147731</v>
      </c>
      <c r="E7" s="8">
        <v>0.75299524321751521</v>
      </c>
      <c r="F7" s="8">
        <v>1.329998447095075</v>
      </c>
      <c r="L7" s="2">
        <v>0.1</v>
      </c>
      <c r="M7" t="s">
        <v>46</v>
      </c>
    </row>
    <row r="8" spans="1:20" x14ac:dyDescent="0.2">
      <c r="A8" s="8" t="s">
        <v>79</v>
      </c>
      <c r="B8" s="8">
        <v>0.44348665515975177</v>
      </c>
      <c r="C8" s="8">
        <v>-8.8199669811428099E-9</v>
      </c>
      <c r="D8" s="8">
        <v>0.33516849274147731</v>
      </c>
      <c r="E8" s="8">
        <v>0.75299524321751521</v>
      </c>
      <c r="F8" s="8">
        <v>1.329998447095075</v>
      </c>
      <c r="L8" s="2">
        <v>0.11</v>
      </c>
      <c r="M8" t="s">
        <v>46</v>
      </c>
      <c r="N8" s="5"/>
    </row>
    <row r="9" spans="1:20" x14ac:dyDescent="0.2">
      <c r="A9" s="8" t="s">
        <v>78</v>
      </c>
      <c r="B9" s="8">
        <v>0.44348665515975177</v>
      </c>
      <c r="C9" s="8">
        <v>-8.8199669811428099E-9</v>
      </c>
      <c r="D9" s="8">
        <v>0.33516849274147731</v>
      </c>
      <c r="E9" s="8">
        <v>0.75299524321751521</v>
      </c>
      <c r="F9" s="8">
        <v>1.329998447095075</v>
      </c>
      <c r="L9" s="2">
        <v>0.12</v>
      </c>
      <c r="M9" t="s">
        <v>46</v>
      </c>
      <c r="N9" s="5"/>
    </row>
    <row r="10" spans="1:20" x14ac:dyDescent="0.2">
      <c r="A10" s="8" t="s">
        <v>77</v>
      </c>
      <c r="B10" s="8">
        <v>0.44348665515975177</v>
      </c>
      <c r="C10" s="8">
        <v>-8.8199669811428099E-9</v>
      </c>
      <c r="D10" s="8">
        <v>0.33516849274147731</v>
      </c>
      <c r="E10" s="8">
        <v>0.75299524321751521</v>
      </c>
      <c r="F10" s="8">
        <v>1.329998447095075</v>
      </c>
      <c r="L10" s="2">
        <v>0.14000000000000001</v>
      </c>
      <c r="M10" t="s">
        <v>46</v>
      </c>
      <c r="N10" s="5"/>
      <c r="O10" s="4"/>
    </row>
    <row r="11" spans="1:20" x14ac:dyDescent="0.2">
      <c r="A11" s="10" t="s">
        <v>88</v>
      </c>
      <c r="L11" s="2">
        <v>0.16</v>
      </c>
      <c r="M11" t="s">
        <v>46</v>
      </c>
      <c r="N11" s="5"/>
    </row>
    <row r="12" spans="1:20" x14ac:dyDescent="0.2">
      <c r="A12" s="10" t="s">
        <v>89</v>
      </c>
      <c r="L12" s="2">
        <v>0.18</v>
      </c>
      <c r="M12" t="s">
        <v>61</v>
      </c>
    </row>
    <row r="13" spans="1:20" x14ac:dyDescent="0.2">
      <c r="A13" s="10" t="s">
        <v>90</v>
      </c>
      <c r="L13" s="2">
        <v>0.2</v>
      </c>
      <c r="M13" t="s">
        <v>61</v>
      </c>
    </row>
    <row r="14" spans="1:20" x14ac:dyDescent="0.2">
      <c r="A14" s="10" t="s">
        <v>91</v>
      </c>
      <c r="D14" s="3"/>
      <c r="H14" s="3"/>
      <c r="L14" s="2">
        <v>0.22</v>
      </c>
      <c r="M14" t="s">
        <v>61</v>
      </c>
      <c r="Q14" s="3"/>
    </row>
    <row r="15" spans="1:20" x14ac:dyDescent="0.2">
      <c r="A15" s="9" t="s">
        <v>82</v>
      </c>
      <c r="L15" s="2">
        <v>0.25</v>
      </c>
      <c r="M15" t="s">
        <v>61</v>
      </c>
    </row>
    <row r="16" spans="1:20" x14ac:dyDescent="0.2">
      <c r="A16" s="9" t="s">
        <v>80</v>
      </c>
      <c r="L16" s="2">
        <v>0.28000000000000003</v>
      </c>
      <c r="M16" t="s">
        <v>47</v>
      </c>
    </row>
    <row r="17" spans="1:13" x14ac:dyDescent="0.2">
      <c r="A17" s="9" t="s">
        <v>83</v>
      </c>
      <c r="L17" s="2">
        <v>0.3</v>
      </c>
      <c r="M17" t="s">
        <v>47</v>
      </c>
    </row>
    <row r="18" spans="1:13" x14ac:dyDescent="0.2">
      <c r="A18" s="9" t="s">
        <v>81</v>
      </c>
      <c r="L18" s="2">
        <v>0.32</v>
      </c>
      <c r="M18" t="s">
        <v>47</v>
      </c>
    </row>
    <row r="19" spans="1:13" x14ac:dyDescent="0.2">
      <c r="A19" s="9" t="s">
        <v>84</v>
      </c>
      <c r="L19" s="2">
        <v>0.34</v>
      </c>
      <c r="M19" t="s">
        <v>47</v>
      </c>
    </row>
    <row r="20" spans="1:13" x14ac:dyDescent="0.2">
      <c r="A20" s="9" t="s">
        <v>85</v>
      </c>
      <c r="L20" s="2">
        <v>0.36</v>
      </c>
      <c r="M20" t="s">
        <v>47</v>
      </c>
    </row>
    <row r="21" spans="1:13" x14ac:dyDescent="0.2">
      <c r="A21" s="9" t="s">
        <v>86</v>
      </c>
      <c r="L21" s="2">
        <v>0.38</v>
      </c>
      <c r="M21" t="s">
        <v>47</v>
      </c>
    </row>
    <row r="22" spans="1:13" x14ac:dyDescent="0.2">
      <c r="A22" s="9" t="s">
        <v>87</v>
      </c>
      <c r="L22" s="2">
        <v>0.4</v>
      </c>
      <c r="M22" t="s">
        <v>47</v>
      </c>
    </row>
    <row r="23" spans="1:13" x14ac:dyDescent="0.2">
      <c r="L23" s="2">
        <v>0.43</v>
      </c>
      <c r="M23" t="s">
        <v>47</v>
      </c>
    </row>
    <row r="24" spans="1:13" x14ac:dyDescent="0.2">
      <c r="L24" s="2">
        <v>0.45</v>
      </c>
      <c r="M24" t="s">
        <v>47</v>
      </c>
    </row>
    <row r="25" spans="1:13" x14ac:dyDescent="0.2">
      <c r="L25" s="2">
        <v>0.48</v>
      </c>
      <c r="M25" t="s">
        <v>47</v>
      </c>
    </row>
    <row r="26" spans="1:13" x14ac:dyDescent="0.2">
      <c r="L26" s="2">
        <v>0.5</v>
      </c>
      <c r="M26" t="s">
        <v>47</v>
      </c>
    </row>
    <row r="27" spans="1:13" x14ac:dyDescent="0.2">
      <c r="L27" s="2">
        <v>0.53</v>
      </c>
      <c r="M27" t="s">
        <v>47</v>
      </c>
    </row>
    <row r="28" spans="1:13" x14ac:dyDescent="0.2">
      <c r="L28" s="2">
        <v>0.56000000000000005</v>
      </c>
      <c r="M28" t="s">
        <v>47</v>
      </c>
    </row>
    <row r="29" spans="1:13" x14ac:dyDescent="0.2">
      <c r="L29" s="2">
        <v>0.6</v>
      </c>
      <c r="M29" t="s">
        <v>47</v>
      </c>
    </row>
    <row r="30" spans="1:13" x14ac:dyDescent="0.2">
      <c r="L30" s="2">
        <v>0.63</v>
      </c>
      <c r="M30" t="s">
        <v>47</v>
      </c>
    </row>
    <row r="31" spans="1:13" x14ac:dyDescent="0.2">
      <c r="L31" s="2">
        <v>0.65</v>
      </c>
      <c r="M31" t="s">
        <v>48</v>
      </c>
    </row>
    <row r="32" spans="1:13" x14ac:dyDescent="0.2">
      <c r="L32" s="2">
        <v>0.7</v>
      </c>
      <c r="M32" t="s">
        <v>48</v>
      </c>
    </row>
    <row r="33" spans="12:13" x14ac:dyDescent="0.2">
      <c r="L33" s="2">
        <v>0.75</v>
      </c>
      <c r="M33" t="s">
        <v>48</v>
      </c>
    </row>
    <row r="34" spans="12:13" x14ac:dyDescent="0.2">
      <c r="L34" s="2">
        <v>0.8</v>
      </c>
      <c r="M34" t="s">
        <v>49</v>
      </c>
    </row>
    <row r="35" spans="12:13" x14ac:dyDescent="0.2">
      <c r="L35" s="2">
        <v>0.85</v>
      </c>
      <c r="M35" t="s">
        <v>49</v>
      </c>
    </row>
    <row r="36" spans="12:13" x14ac:dyDescent="0.2">
      <c r="L36" s="2">
        <v>0.9</v>
      </c>
      <c r="M36" t="s">
        <v>49</v>
      </c>
    </row>
    <row r="37" spans="12:13" x14ac:dyDescent="0.2">
      <c r="L37" s="2">
        <v>0.95</v>
      </c>
      <c r="M37" t="s">
        <v>49</v>
      </c>
    </row>
    <row r="38" spans="12:13" x14ac:dyDescent="0.2">
      <c r="L38" s="2">
        <v>1</v>
      </c>
      <c r="M38" t="s">
        <v>49</v>
      </c>
    </row>
    <row r="39" spans="12:13" x14ac:dyDescent="0.2">
      <c r="L39" s="2">
        <v>1.05</v>
      </c>
      <c r="M39" t="s">
        <v>50</v>
      </c>
    </row>
    <row r="40" spans="12:13" x14ac:dyDescent="0.2">
      <c r="L40" s="2">
        <v>1.1000000000000001</v>
      </c>
      <c r="M40" t="s">
        <v>50</v>
      </c>
    </row>
    <row r="41" spans="12:13" x14ac:dyDescent="0.2">
      <c r="L41" s="2">
        <v>1.2</v>
      </c>
      <c r="M41" t="s">
        <v>50</v>
      </c>
    </row>
    <row r="42" spans="12:13" x14ac:dyDescent="0.2">
      <c r="L42" s="2">
        <v>1.25</v>
      </c>
      <c r="M42" t="s">
        <v>50</v>
      </c>
    </row>
    <row r="43" spans="12:13" x14ac:dyDescent="0.2">
      <c r="L43" s="2">
        <v>1.3</v>
      </c>
      <c r="M43" t="s">
        <v>50</v>
      </c>
    </row>
    <row r="44" spans="12:13" x14ac:dyDescent="0.2">
      <c r="L44" s="2">
        <v>1.4</v>
      </c>
      <c r="M44" t="s">
        <v>50</v>
      </c>
    </row>
    <row r="45" spans="12:13" x14ac:dyDescent="0.2">
      <c r="L45" s="2">
        <v>1.5</v>
      </c>
      <c r="M45" t="s">
        <v>50</v>
      </c>
    </row>
    <row r="46" spans="12:13" x14ac:dyDescent="0.2">
      <c r="L46" s="2">
        <v>1.6</v>
      </c>
      <c r="M46" t="s">
        <v>50</v>
      </c>
    </row>
    <row r="47" spans="12:13" x14ac:dyDescent="0.2">
      <c r="L47" s="2">
        <v>1.7</v>
      </c>
      <c r="M47" t="s">
        <v>50</v>
      </c>
    </row>
    <row r="48" spans="12:13" x14ac:dyDescent="0.2">
      <c r="L48" s="2">
        <v>1.8</v>
      </c>
      <c r="M48" t="s">
        <v>51</v>
      </c>
    </row>
    <row r="49" spans="12:13" x14ac:dyDescent="0.2">
      <c r="L49" s="2">
        <v>1.9</v>
      </c>
      <c r="M49" t="s">
        <v>51</v>
      </c>
    </row>
    <row r="50" spans="12:13" x14ac:dyDescent="0.2">
      <c r="L50" s="2">
        <v>2</v>
      </c>
      <c r="M50" t="s">
        <v>51</v>
      </c>
    </row>
    <row r="51" spans="12:13" x14ac:dyDescent="0.2">
      <c r="L51" s="2">
        <v>2.1</v>
      </c>
      <c r="M51" t="s">
        <v>51</v>
      </c>
    </row>
    <row r="52" spans="12:13" x14ac:dyDescent="0.2">
      <c r="L52" s="2">
        <v>2.25</v>
      </c>
      <c r="M52" t="s">
        <v>51</v>
      </c>
    </row>
    <row r="53" spans="12:13" x14ac:dyDescent="0.2">
      <c r="L53" s="2">
        <v>2.4</v>
      </c>
      <c r="M53" t="s">
        <v>51</v>
      </c>
    </row>
    <row r="54" spans="12:13" x14ac:dyDescent="0.2">
      <c r="L54" s="2">
        <v>2.5</v>
      </c>
      <c r="M54" t="s">
        <v>51</v>
      </c>
    </row>
    <row r="55" spans="12:13" x14ac:dyDescent="0.2">
      <c r="L55" s="2">
        <v>2.6</v>
      </c>
      <c r="M55" t="s">
        <v>51</v>
      </c>
    </row>
    <row r="56" spans="12:13" x14ac:dyDescent="0.2">
      <c r="L56" s="2">
        <v>2.8</v>
      </c>
      <c r="M56" t="s">
        <v>52</v>
      </c>
    </row>
    <row r="57" spans="12:13" x14ac:dyDescent="0.2">
      <c r="L57" s="2">
        <v>3</v>
      </c>
      <c r="M57" t="s">
        <v>52</v>
      </c>
    </row>
    <row r="58" spans="12:13" x14ac:dyDescent="0.2">
      <c r="L58" s="2">
        <v>3.2</v>
      </c>
      <c r="M58" t="s">
        <v>52</v>
      </c>
    </row>
    <row r="59" spans="12:13" x14ac:dyDescent="0.2">
      <c r="L59" s="2">
        <v>3.4</v>
      </c>
      <c r="M59" t="s">
        <v>52</v>
      </c>
    </row>
    <row r="60" spans="12:13" x14ac:dyDescent="0.2">
      <c r="L60" s="2">
        <v>3.6</v>
      </c>
      <c r="M60" t="s">
        <v>52</v>
      </c>
    </row>
    <row r="61" spans="12:13" x14ac:dyDescent="0.2">
      <c r="L61" s="2">
        <v>3.8</v>
      </c>
      <c r="M61" t="s">
        <v>52</v>
      </c>
    </row>
    <row r="62" spans="12:13" x14ac:dyDescent="0.2">
      <c r="L62" s="2">
        <v>4</v>
      </c>
      <c r="M62" t="s">
        <v>52</v>
      </c>
    </row>
    <row r="63" spans="12:13" x14ac:dyDescent="0.2">
      <c r="L63" s="2">
        <v>4.25</v>
      </c>
      <c r="M63" t="s">
        <v>53</v>
      </c>
    </row>
    <row r="64" spans="12:13" x14ac:dyDescent="0.2">
      <c r="L64" s="2">
        <v>4.5</v>
      </c>
      <c r="M64" t="s">
        <v>53</v>
      </c>
    </row>
    <row r="65" spans="12:13" x14ac:dyDescent="0.2">
      <c r="L65" s="2">
        <v>4.75</v>
      </c>
      <c r="M65" t="s">
        <v>53</v>
      </c>
    </row>
    <row r="66" spans="12:13" x14ac:dyDescent="0.2">
      <c r="L66" s="2">
        <v>5</v>
      </c>
      <c r="M66" t="s">
        <v>53</v>
      </c>
    </row>
    <row r="67" spans="12:13" x14ac:dyDescent="0.2">
      <c r="L67" s="2">
        <v>5.3</v>
      </c>
      <c r="M67" t="s">
        <v>53</v>
      </c>
    </row>
    <row r="68" spans="12:13" x14ac:dyDescent="0.2">
      <c r="L68" s="2">
        <v>5.6</v>
      </c>
      <c r="M68" t="s">
        <v>54</v>
      </c>
    </row>
    <row r="69" spans="12:13" x14ac:dyDescent="0.2">
      <c r="L69" s="2">
        <v>6</v>
      </c>
      <c r="M69" t="s">
        <v>54</v>
      </c>
    </row>
    <row r="70" spans="12:13" x14ac:dyDescent="0.2">
      <c r="L70" s="2">
        <v>6.3</v>
      </c>
      <c r="M70" t="s">
        <v>54</v>
      </c>
    </row>
    <row r="71" spans="12:13" x14ac:dyDescent="0.2">
      <c r="L71" s="2">
        <v>6.5</v>
      </c>
      <c r="M71" t="s">
        <v>54</v>
      </c>
    </row>
    <row r="72" spans="12:13" x14ac:dyDescent="0.2">
      <c r="L72" s="2">
        <v>7</v>
      </c>
      <c r="M72" t="s">
        <v>54</v>
      </c>
    </row>
    <row r="73" spans="12:13" x14ac:dyDescent="0.2">
      <c r="L73" s="2">
        <v>7.5</v>
      </c>
      <c r="M73" t="s">
        <v>55</v>
      </c>
    </row>
    <row r="74" spans="12:13" x14ac:dyDescent="0.2">
      <c r="L74" s="2">
        <v>8</v>
      </c>
      <c r="M74" t="s">
        <v>55</v>
      </c>
    </row>
    <row r="75" spans="12:13" x14ac:dyDescent="0.2">
      <c r="L75" s="2">
        <v>8.5</v>
      </c>
      <c r="M75" t="s">
        <v>55</v>
      </c>
    </row>
    <row r="76" spans="12:13" x14ac:dyDescent="0.2">
      <c r="L76" s="2">
        <v>9</v>
      </c>
      <c r="M76" t="s">
        <v>55</v>
      </c>
    </row>
    <row r="77" spans="12:13" x14ac:dyDescent="0.2">
      <c r="L77" s="2">
        <v>9.5</v>
      </c>
      <c r="M77" t="s">
        <v>56</v>
      </c>
    </row>
    <row r="78" spans="12:13" x14ac:dyDescent="0.2">
      <c r="L78" s="2">
        <v>10</v>
      </c>
      <c r="M78" t="s">
        <v>56</v>
      </c>
    </row>
    <row r="79" spans="12:13" x14ac:dyDescent="0.2">
      <c r="L79" s="2">
        <v>10.5</v>
      </c>
      <c r="M79" t="s">
        <v>57</v>
      </c>
    </row>
    <row r="80" spans="12:13" x14ac:dyDescent="0.2">
      <c r="L80" s="2">
        <v>11</v>
      </c>
      <c r="M80" t="s">
        <v>57</v>
      </c>
    </row>
    <row r="81" spans="12:13" x14ac:dyDescent="0.2">
      <c r="L81" s="2">
        <v>12</v>
      </c>
      <c r="M81" t="s">
        <v>58</v>
      </c>
    </row>
    <row r="82" spans="12:13" x14ac:dyDescent="0.2">
      <c r="L82" s="2">
        <v>12.5</v>
      </c>
      <c r="M82" t="s">
        <v>58</v>
      </c>
    </row>
    <row r="83" spans="12:13" x14ac:dyDescent="0.2">
      <c r="L83" s="2">
        <v>13</v>
      </c>
      <c r="M83" t="s">
        <v>58</v>
      </c>
    </row>
    <row r="84" spans="12:13" x14ac:dyDescent="0.2">
      <c r="L84" s="2">
        <v>14</v>
      </c>
      <c r="M84" t="s">
        <v>58</v>
      </c>
    </row>
    <row r="85" spans="12:13" x14ac:dyDescent="0.2">
      <c r="L85" s="2">
        <v>15</v>
      </c>
      <c r="M85" t="s">
        <v>59</v>
      </c>
    </row>
    <row r="86" spans="12:13" x14ac:dyDescent="0.2">
      <c r="L86" s="2">
        <v>16</v>
      </c>
      <c r="M86" t="s">
        <v>59</v>
      </c>
    </row>
    <row r="87" spans="12:13" x14ac:dyDescent="0.2">
      <c r="L87" s="2">
        <v>17</v>
      </c>
      <c r="M87" t="s">
        <v>59</v>
      </c>
    </row>
    <row r="88" spans="12:13" x14ac:dyDescent="0.2">
      <c r="L88" s="2">
        <v>18</v>
      </c>
      <c r="M88" t="s">
        <v>59</v>
      </c>
    </row>
    <row r="89" spans="12:13" x14ac:dyDescent="0.2">
      <c r="L89" s="2">
        <v>19</v>
      </c>
      <c r="M89" t="s">
        <v>60</v>
      </c>
    </row>
    <row r="90" spans="12:13" x14ac:dyDescent="0.2">
      <c r="L90" s="2">
        <v>20</v>
      </c>
      <c r="M90" t="s">
        <v>60</v>
      </c>
    </row>
  </sheetData>
  <sortState ref="A11:A23">
    <sortCondition ref="A11"/>
  </sortState>
  <mergeCells count="3">
    <mergeCell ref="R1:S1"/>
    <mergeCell ref="N4:O4"/>
    <mergeCell ref="O1:P1"/>
  </mergeCells>
  <phoneticPr fontId="4" type="noConversion"/>
  <pageMargins left="0.75" right="0.75" top="1" bottom="1" header="0" footer="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F40"/>
  <sheetViews>
    <sheetView topLeftCell="N1" workbookViewId="0">
      <selection activeCell="I14" sqref="I14:R14"/>
    </sheetView>
  </sheetViews>
  <sheetFormatPr defaultColWidth="11.42578125" defaultRowHeight="15" x14ac:dyDescent="0.25"/>
  <cols>
    <col min="1" max="17" width="11.42578125" style="31"/>
    <col min="18" max="18" width="11.85546875" style="31" bestFit="1" customWidth="1"/>
    <col min="19" max="16384" width="11.42578125" style="31"/>
  </cols>
  <sheetData>
    <row r="1" spans="1:32" ht="15.75" thickBot="1" x14ac:dyDescent="0.3">
      <c r="A1" s="31" t="s">
        <v>116</v>
      </c>
      <c r="D1" s="31" t="s">
        <v>115</v>
      </c>
      <c r="G1" s="31" t="s">
        <v>114</v>
      </c>
      <c r="N1" s="31" t="s">
        <v>113</v>
      </c>
      <c r="O1" s="31" t="s">
        <v>112</v>
      </c>
      <c r="P1" s="31" t="s">
        <v>111</v>
      </c>
      <c r="R1" s="31" t="s">
        <v>110</v>
      </c>
      <c r="U1" s="31" t="s">
        <v>109</v>
      </c>
    </row>
    <row r="2" spans="1:32" x14ac:dyDescent="0.25">
      <c r="A2" s="31">
        <f t="shared" ref="A2:A19" si="0">E2/U2</f>
        <v>682.39556051049829</v>
      </c>
      <c r="B2" s="31">
        <v>0</v>
      </c>
      <c r="C2" s="31">
        <f t="shared" ref="C2:C19" si="1">A2/J2</f>
        <v>0.45792690453496382</v>
      </c>
      <c r="D2" s="41">
        <v>0</v>
      </c>
      <c r="E2" s="40">
        <v>500.72023287691098</v>
      </c>
      <c r="F2" s="40"/>
      <c r="G2" s="40">
        <v>285.65782399581502</v>
      </c>
      <c r="H2" s="40">
        <v>710.32688982422803</v>
      </c>
      <c r="I2" s="40"/>
      <c r="J2" s="40">
        <v>1490.1844677667236</v>
      </c>
      <c r="K2" s="40"/>
      <c r="L2" s="40">
        <f t="shared" ref="L2:L19" si="2">H2/J2</f>
        <v>0.47667044261222563</v>
      </c>
      <c r="M2" s="40"/>
      <c r="N2" s="40">
        <f t="shared" ref="N2:N7" si="3">10^6</f>
        <v>1000000</v>
      </c>
      <c r="O2" s="40" t="s">
        <v>103</v>
      </c>
      <c r="P2" s="39">
        <v>1</v>
      </c>
      <c r="R2" s="31">
        <f t="shared" ref="R2:R19" si="4">E2/J2</f>
        <v>0.33601224795163731</v>
      </c>
      <c r="S2" s="31">
        <f t="shared" ref="S2:S19" si="5">LOG10(N2)</f>
        <v>6</v>
      </c>
      <c r="U2" s="31">
        <f t="shared" ref="U2:U19" si="6">(H2-E2)/G2</f>
        <v>0.73376830368345825</v>
      </c>
      <c r="V2" s="31">
        <f t="shared" ref="V2:V13" si="7">R2/R8</f>
        <v>1.2337566098363535</v>
      </c>
      <c r="X2" s="31">
        <f t="shared" ref="X2:X13" si="8">U2/U8</f>
        <v>1.0387455023676277</v>
      </c>
    </row>
    <row r="3" spans="1:32" x14ac:dyDescent="0.25">
      <c r="A3" s="31">
        <f t="shared" si="0"/>
        <v>724.02344446612722</v>
      </c>
      <c r="B3" s="31">
        <v>0</v>
      </c>
      <c r="C3" s="31">
        <f t="shared" si="1"/>
        <v>0.46012729081896148</v>
      </c>
      <c r="D3" s="38">
        <v>0</v>
      </c>
      <c r="E3" s="37">
        <v>524.461278401247</v>
      </c>
      <c r="F3" s="37"/>
      <c r="G3" s="37">
        <v>307.26771642101801</v>
      </c>
      <c r="H3" s="37">
        <v>747.03697066274003</v>
      </c>
      <c r="I3" s="37"/>
      <c r="J3" s="37">
        <v>1573.5285841825812</v>
      </c>
      <c r="K3" s="37"/>
      <c r="L3" s="37">
        <f t="shared" si="2"/>
        <v>0.47475271702853228</v>
      </c>
      <c r="M3" s="37"/>
      <c r="N3" s="37">
        <f t="shared" si="3"/>
        <v>1000000</v>
      </c>
      <c r="O3" s="37" t="s">
        <v>103</v>
      </c>
      <c r="P3" s="36">
        <v>2</v>
      </c>
      <c r="R3" s="31">
        <f t="shared" si="4"/>
        <v>0.33330266998212482</v>
      </c>
      <c r="S3" s="31">
        <f t="shared" si="5"/>
        <v>6</v>
      </c>
      <c r="U3" s="31">
        <f t="shared" si="6"/>
        <v>0.72437057447493114</v>
      </c>
      <c r="V3" s="31">
        <f t="shared" si="7"/>
        <v>1.2197292486627667</v>
      </c>
      <c r="X3" s="31">
        <f t="shared" si="8"/>
        <v>1.030990590791764</v>
      </c>
      <c r="AB3" s="42">
        <v>1000000</v>
      </c>
      <c r="AC3" s="42">
        <v>10000000</v>
      </c>
      <c r="AD3" s="31" t="s">
        <v>108</v>
      </c>
    </row>
    <row r="4" spans="1:32" x14ac:dyDescent="0.25">
      <c r="A4" s="31">
        <f t="shared" si="0"/>
        <v>793.35863001355722</v>
      </c>
      <c r="B4" s="31">
        <v>0</v>
      </c>
      <c r="C4" s="31">
        <f t="shared" si="1"/>
        <v>0.45358755763030595</v>
      </c>
      <c r="D4" s="38">
        <v>0</v>
      </c>
      <c r="E4" s="37">
        <v>565.46660144046496</v>
      </c>
      <c r="F4" s="37"/>
      <c r="G4" s="37">
        <v>369.89261894498202</v>
      </c>
      <c r="H4" s="37">
        <v>829.10767651033302</v>
      </c>
      <c r="I4" s="37"/>
      <c r="J4" s="37">
        <v>1749.0749397058635</v>
      </c>
      <c r="K4" s="37"/>
      <c r="L4" s="37">
        <f t="shared" si="2"/>
        <v>0.47402638828600535</v>
      </c>
      <c r="M4" s="37"/>
      <c r="N4" s="37">
        <f t="shared" si="3"/>
        <v>1000000</v>
      </c>
      <c r="O4" s="37" t="s">
        <v>103</v>
      </c>
      <c r="P4" s="36">
        <v>3</v>
      </c>
      <c r="R4" s="31">
        <f t="shared" si="4"/>
        <v>0.3232946677147851</v>
      </c>
      <c r="S4" s="31">
        <f t="shared" si="5"/>
        <v>6</v>
      </c>
      <c r="U4" s="31">
        <f t="shared" si="6"/>
        <v>0.71275029986224769</v>
      </c>
      <c r="V4" s="31">
        <f t="shared" si="7"/>
        <v>1.1988768642943202</v>
      </c>
      <c r="X4" s="31">
        <f t="shared" si="8"/>
        <v>0.99535037435530471</v>
      </c>
      <c r="Z4" s="31" t="s">
        <v>107</v>
      </c>
    </row>
    <row r="5" spans="1:32" x14ac:dyDescent="0.25">
      <c r="A5" s="31">
        <f t="shared" si="0"/>
        <v>849.1010811027096</v>
      </c>
      <c r="B5" s="31">
        <v>0</v>
      </c>
      <c r="C5" s="31">
        <f t="shared" si="1"/>
        <v>0.43771068203224811</v>
      </c>
      <c r="D5" s="38">
        <v>0</v>
      </c>
      <c r="E5" s="37">
        <v>604.31558502574296</v>
      </c>
      <c r="F5" s="37"/>
      <c r="G5" s="37">
        <v>443.30503097437202</v>
      </c>
      <c r="H5" s="37">
        <v>919.82117688086305</v>
      </c>
      <c r="I5" s="37"/>
      <c r="J5" s="37">
        <v>1939.8683101824608</v>
      </c>
      <c r="K5" s="37"/>
      <c r="L5" s="37">
        <f t="shared" si="2"/>
        <v>0.47416681434130248</v>
      </c>
      <c r="M5" s="37"/>
      <c r="N5" s="37">
        <f t="shared" si="3"/>
        <v>1000000</v>
      </c>
      <c r="O5" s="37" t="s">
        <v>103</v>
      </c>
      <c r="P5" s="36">
        <v>5</v>
      </c>
      <c r="R5" s="31">
        <f t="shared" si="4"/>
        <v>0.31152402555042619</v>
      </c>
      <c r="S5" s="31">
        <f t="shared" si="5"/>
        <v>6</v>
      </c>
      <c r="U5" s="31">
        <f t="shared" si="6"/>
        <v>0.71171218418533999</v>
      </c>
      <c r="V5" s="31">
        <f t="shared" si="7"/>
        <v>1.1822626073286189</v>
      </c>
      <c r="X5" s="31">
        <f t="shared" si="8"/>
        <v>0.96712234053359181</v>
      </c>
      <c r="Z5" s="31" t="s">
        <v>106</v>
      </c>
      <c r="AB5" s="31">
        <f>L20</f>
        <v>0.47601521250122947</v>
      </c>
      <c r="AC5" s="31">
        <f>L20</f>
        <v>0.47601521250122947</v>
      </c>
      <c r="AD5" s="31">
        <v>1</v>
      </c>
    </row>
    <row r="6" spans="1:32" x14ac:dyDescent="0.25">
      <c r="A6" s="31">
        <f t="shared" si="0"/>
        <v>910.10714243687733</v>
      </c>
      <c r="B6" s="31">
        <v>0</v>
      </c>
      <c r="C6" s="31">
        <f t="shared" si="1"/>
        <v>0.43518528951606811</v>
      </c>
      <c r="D6" s="38">
        <v>0</v>
      </c>
      <c r="E6" s="37">
        <v>656.11422980611303</v>
      </c>
      <c r="F6" s="37"/>
      <c r="G6" s="37">
        <v>473.60615322021999</v>
      </c>
      <c r="H6" s="37">
        <v>997.54626781813499</v>
      </c>
      <c r="I6" s="37"/>
      <c r="J6" s="37">
        <v>2091.3095280608604</v>
      </c>
      <c r="K6" s="37"/>
      <c r="L6" s="37">
        <f t="shared" si="2"/>
        <v>0.4769959943438391</v>
      </c>
      <c r="M6" s="37"/>
      <c r="N6" s="37">
        <f t="shared" si="3"/>
        <v>1000000</v>
      </c>
      <c r="O6" s="37" t="s">
        <v>103</v>
      </c>
      <c r="P6" s="36">
        <v>8</v>
      </c>
      <c r="R6" s="31">
        <f t="shared" si="4"/>
        <v>0.31373367787143708</v>
      </c>
      <c r="S6" s="31">
        <f t="shared" si="5"/>
        <v>6</v>
      </c>
      <c r="U6" s="31">
        <f t="shared" si="6"/>
        <v>0.72091976780812861</v>
      </c>
      <c r="V6" s="31">
        <f t="shared" si="7"/>
        <v>1.1915487506771061</v>
      </c>
      <c r="X6" s="31">
        <f t="shared" si="8"/>
        <v>0.98551978832638387</v>
      </c>
      <c r="Z6" s="31" t="s">
        <v>105</v>
      </c>
      <c r="AB6" s="31">
        <f>R20</f>
        <v>0.31960989599204914</v>
      </c>
      <c r="AC6" s="31">
        <f>R23</f>
        <v>0.26591018689966323</v>
      </c>
      <c r="AD6" s="31">
        <f>1/W13</f>
        <v>0.82585705604597537</v>
      </c>
      <c r="AF6" s="31" t="s">
        <v>121</v>
      </c>
    </row>
    <row r="7" spans="1:32" ht="15.75" thickBot="1" x14ac:dyDescent="0.3">
      <c r="A7" s="31">
        <f t="shared" si="0"/>
        <v>997.42147263509457</v>
      </c>
      <c r="B7" s="31">
        <v>0</v>
      </c>
      <c r="C7" s="31">
        <f t="shared" si="1"/>
        <v>0.42439855018087597</v>
      </c>
      <c r="D7" s="35">
        <v>0</v>
      </c>
      <c r="E7" s="34">
        <v>707.914811998392</v>
      </c>
      <c r="F7" s="34"/>
      <c r="G7" s="34">
        <v>581.54712027937398</v>
      </c>
      <c r="H7" s="34">
        <v>1120.6649197669201</v>
      </c>
      <c r="I7" s="34"/>
      <c r="J7" s="34">
        <v>2350.1999999999998</v>
      </c>
      <c r="K7" s="34"/>
      <c r="L7" s="34">
        <f t="shared" si="2"/>
        <v>0.47683810729594084</v>
      </c>
      <c r="M7" s="34"/>
      <c r="N7" s="34">
        <f t="shared" si="3"/>
        <v>1000000</v>
      </c>
      <c r="O7" s="34" t="s">
        <v>103</v>
      </c>
      <c r="P7" s="33">
        <v>10</v>
      </c>
      <c r="R7" s="31">
        <f t="shared" si="4"/>
        <v>0.3012147102367424</v>
      </c>
      <c r="S7" s="31">
        <f t="shared" si="5"/>
        <v>6</v>
      </c>
      <c r="U7" s="31">
        <f t="shared" si="6"/>
        <v>0.7097449086674934</v>
      </c>
      <c r="V7" s="31">
        <f t="shared" si="7"/>
        <v>1.1863645899605404</v>
      </c>
      <c r="W7" s="31">
        <f>GEOMEAN(V2:V7)</f>
        <v>1.2019467915783484</v>
      </c>
      <c r="X7" s="31">
        <f t="shared" si="8"/>
        <v>0.97096454842217383</v>
      </c>
      <c r="Y7" s="31">
        <f>GEOMEAN(X2:X7)</f>
        <v>0.9977345161603377</v>
      </c>
      <c r="Z7" s="31" t="s">
        <v>104</v>
      </c>
      <c r="AB7" s="31">
        <f>U20</f>
        <v>0.71964387134949526</v>
      </c>
      <c r="AC7" s="31">
        <f>U20</f>
        <v>0.71964387134949526</v>
      </c>
      <c r="AD7" s="31">
        <f>Y13</f>
        <v>0.97920792789878874</v>
      </c>
    </row>
    <row r="8" spans="1:32" x14ac:dyDescent="0.25">
      <c r="A8" s="31">
        <f t="shared" si="0"/>
        <v>574.53416149068244</v>
      </c>
      <c r="B8" s="31">
        <v>0</v>
      </c>
      <c r="C8" s="31">
        <f t="shared" si="1"/>
        <v>0.38554566492812292</v>
      </c>
      <c r="D8" s="41">
        <v>0</v>
      </c>
      <c r="E8" s="40">
        <v>405.85009140767801</v>
      </c>
      <c r="F8" s="40"/>
      <c r="G8" s="40">
        <v>428.57142857142799</v>
      </c>
      <c r="H8" s="40">
        <v>708.592321755027</v>
      </c>
      <c r="I8" s="40"/>
      <c r="J8" s="40">
        <v>1490.1844677667236</v>
      </c>
      <c r="K8" s="40"/>
      <c r="L8" s="40">
        <f t="shared" si="2"/>
        <v>0.47550644707561895</v>
      </c>
      <c r="M8" s="40"/>
      <c r="N8" s="40">
        <f t="shared" ref="N8:N19" si="9">10^7</f>
        <v>10000000</v>
      </c>
      <c r="O8" s="40" t="s">
        <v>103</v>
      </c>
      <c r="P8" s="39">
        <v>1</v>
      </c>
      <c r="R8" s="31">
        <f t="shared" si="4"/>
        <v>0.27234889383588085</v>
      </c>
      <c r="S8" s="31">
        <f t="shared" si="5"/>
        <v>7</v>
      </c>
      <c r="U8" s="31">
        <f t="shared" si="6"/>
        <v>0.70639853747714865</v>
      </c>
      <c r="V8" s="31">
        <f t="shared" si="7"/>
        <v>1.2436205057891554</v>
      </c>
      <c r="X8" s="31">
        <f t="shared" si="8"/>
        <v>0.95019980262412773</v>
      </c>
    </row>
    <row r="9" spans="1:32" x14ac:dyDescent="0.25">
      <c r="A9" s="31">
        <f t="shared" si="0"/>
        <v>611.98938992042133</v>
      </c>
      <c r="B9" s="31">
        <v>0</v>
      </c>
      <c r="C9" s="31">
        <f t="shared" si="1"/>
        <v>0.38892804113777091</v>
      </c>
      <c r="D9" s="38">
        <v>0</v>
      </c>
      <c r="E9" s="37">
        <v>429.98171846435002</v>
      </c>
      <c r="F9" s="37"/>
      <c r="G9" s="37">
        <v>452.74725274725199</v>
      </c>
      <c r="H9" s="37">
        <v>748.08043875685496</v>
      </c>
      <c r="I9" s="37"/>
      <c r="J9" s="37">
        <v>1573.5285841825812</v>
      </c>
      <c r="K9" s="37"/>
      <c r="L9" s="37">
        <f t="shared" si="2"/>
        <v>0.47541585597917108</v>
      </c>
      <c r="M9" s="37"/>
      <c r="N9" s="37">
        <f t="shared" si="9"/>
        <v>10000000</v>
      </c>
      <c r="O9" s="37" t="s">
        <v>103</v>
      </c>
      <c r="P9" s="36">
        <v>2</v>
      </c>
      <c r="R9" s="31">
        <f t="shared" si="4"/>
        <v>0.27325955358333548</v>
      </c>
      <c r="S9" s="31">
        <f t="shared" si="5"/>
        <v>7</v>
      </c>
      <c r="U9" s="31">
        <f t="shared" si="6"/>
        <v>0.70259668802470865</v>
      </c>
      <c r="V9" s="31">
        <f t="shared" si="7"/>
        <v>1.2400616553751276</v>
      </c>
      <c r="X9" s="31">
        <f t="shared" si="8"/>
        <v>0.96238033737838313</v>
      </c>
    </row>
    <row r="10" spans="1:32" x14ac:dyDescent="0.25">
      <c r="A10" s="31">
        <f t="shared" si="0"/>
        <v>658.67465867465808</v>
      </c>
      <c r="B10" s="31">
        <v>0</v>
      </c>
      <c r="C10" s="31">
        <f t="shared" si="1"/>
        <v>0.37658458406900813</v>
      </c>
      <c r="D10" s="38">
        <v>0</v>
      </c>
      <c r="E10" s="37">
        <v>471.663619744058</v>
      </c>
      <c r="F10" s="37"/>
      <c r="G10" s="37">
        <v>505.49450549450501</v>
      </c>
      <c r="H10" s="37">
        <v>833.63802559414898</v>
      </c>
      <c r="I10" s="37"/>
      <c r="J10" s="37">
        <v>1749.0749397058635</v>
      </c>
      <c r="K10" s="37"/>
      <c r="L10" s="37">
        <f t="shared" si="2"/>
        <v>0.47661652835431928</v>
      </c>
      <c r="M10" s="37"/>
      <c r="N10" s="37">
        <f t="shared" si="9"/>
        <v>10000000</v>
      </c>
      <c r="O10" s="37" t="s">
        <v>103</v>
      </c>
      <c r="P10" s="36">
        <v>3</v>
      </c>
      <c r="R10" s="31">
        <f t="shared" si="4"/>
        <v>0.26966461472678593</v>
      </c>
      <c r="S10" s="31">
        <f t="shared" si="5"/>
        <v>7</v>
      </c>
      <c r="U10" s="31">
        <f t="shared" si="6"/>
        <v>0.71607980287735462</v>
      </c>
      <c r="V10" s="31">
        <f t="shared" si="7"/>
        <v>1.185877904342256</v>
      </c>
      <c r="X10" s="31">
        <f t="shared" si="8"/>
        <v>0.97901535549638352</v>
      </c>
    </row>
    <row r="11" spans="1:32" x14ac:dyDescent="0.25">
      <c r="A11" s="31">
        <f t="shared" si="0"/>
        <v>694.58732756605002</v>
      </c>
      <c r="B11" s="31">
        <v>0</v>
      </c>
      <c r="C11" s="31">
        <f t="shared" si="1"/>
        <v>0.35805901045969368</v>
      </c>
      <c r="D11" s="38">
        <v>0</v>
      </c>
      <c r="E11" s="37">
        <v>511.15173674588601</v>
      </c>
      <c r="F11" s="37"/>
      <c r="G11" s="37">
        <v>560.43956043955995</v>
      </c>
      <c r="H11" s="37">
        <v>923.58318098720201</v>
      </c>
      <c r="I11" s="37"/>
      <c r="J11" s="37">
        <v>1939.8683101824608</v>
      </c>
      <c r="K11" s="37"/>
      <c r="L11" s="37">
        <f t="shared" si="2"/>
        <v>0.47610612335861668</v>
      </c>
      <c r="M11" s="37"/>
      <c r="N11" s="37">
        <f t="shared" si="9"/>
        <v>10000000</v>
      </c>
      <c r="O11" s="37" t="s">
        <v>103</v>
      </c>
      <c r="P11" s="36">
        <v>5</v>
      </c>
      <c r="R11" s="31">
        <f t="shared" si="4"/>
        <v>0.26349816328398495</v>
      </c>
      <c r="S11" s="31">
        <f t="shared" si="5"/>
        <v>7</v>
      </c>
      <c r="U11" s="31">
        <f t="shared" si="6"/>
        <v>0.73590708678352523</v>
      </c>
      <c r="V11" s="31">
        <f t="shared" si="7"/>
        <v>1.2029104204753214</v>
      </c>
      <c r="X11" s="31">
        <f t="shared" si="8"/>
        <v>0.99801098070642291</v>
      </c>
    </row>
    <row r="12" spans="1:32" x14ac:dyDescent="0.25">
      <c r="A12" s="31">
        <f t="shared" si="0"/>
        <v>752.74183944134506</v>
      </c>
      <c r="B12" s="31">
        <v>0</v>
      </c>
      <c r="C12" s="31">
        <f t="shared" si="1"/>
        <v>0.35993803372536398</v>
      </c>
      <c r="D12" s="38">
        <v>0</v>
      </c>
      <c r="E12" s="37">
        <v>550.63985374771403</v>
      </c>
      <c r="F12" s="37"/>
      <c r="G12" s="37">
        <v>608.79120879120899</v>
      </c>
      <c r="H12" s="37">
        <v>995.97806215722096</v>
      </c>
      <c r="I12" s="37"/>
      <c r="J12" s="37">
        <v>2091.3095280608604</v>
      </c>
      <c r="K12" s="37"/>
      <c r="L12" s="37">
        <f t="shared" si="2"/>
        <v>0.47624612655053922</v>
      </c>
      <c r="M12" s="37"/>
      <c r="N12" s="37">
        <f t="shared" si="9"/>
        <v>10000000</v>
      </c>
      <c r="O12" s="37" t="s">
        <v>103</v>
      </c>
      <c r="P12" s="36">
        <v>8</v>
      </c>
      <c r="R12" s="31">
        <f t="shared" si="4"/>
        <v>0.26329906996516567</v>
      </c>
      <c r="S12" s="31">
        <f t="shared" si="5"/>
        <v>7</v>
      </c>
      <c r="U12" s="31">
        <f t="shared" si="6"/>
        <v>0.73151221958962309</v>
      </c>
      <c r="V12" s="31">
        <f t="shared" si="7"/>
        <v>1.1998510393391557</v>
      </c>
      <c r="X12" s="31">
        <f t="shared" si="8"/>
        <v>1.0000420217174588</v>
      </c>
    </row>
    <row r="13" spans="1:32" ht="15.75" thickBot="1" x14ac:dyDescent="0.3">
      <c r="A13" s="31">
        <f t="shared" si="0"/>
        <v>816.32653061225142</v>
      </c>
      <c r="B13" s="31">
        <v>0</v>
      </c>
      <c r="C13" s="31">
        <f t="shared" si="1"/>
        <v>0.3473434306068639</v>
      </c>
      <c r="D13" s="35">
        <v>0</v>
      </c>
      <c r="E13" s="34">
        <v>596.709323583181</v>
      </c>
      <c r="F13" s="34"/>
      <c r="G13" s="34">
        <v>714.28571428571399</v>
      </c>
      <c r="H13" s="34">
        <v>1118.82998171846</v>
      </c>
      <c r="I13" s="34"/>
      <c r="J13" s="34">
        <v>2350.1999999999998</v>
      </c>
      <c r="K13" s="34"/>
      <c r="L13" s="34">
        <f t="shared" si="2"/>
        <v>0.47605734904197944</v>
      </c>
      <c r="M13" s="34"/>
      <c r="N13" s="34">
        <f t="shared" si="9"/>
        <v>10000000</v>
      </c>
      <c r="O13" s="34" t="s">
        <v>103</v>
      </c>
      <c r="P13" s="33">
        <v>10</v>
      </c>
      <c r="R13" s="31">
        <f t="shared" si="4"/>
        <v>0.25389725282239001</v>
      </c>
      <c r="S13" s="31">
        <f t="shared" si="5"/>
        <v>7</v>
      </c>
      <c r="U13" s="31">
        <f t="shared" si="6"/>
        <v>0.73096892138939085</v>
      </c>
      <c r="V13" s="31">
        <f t="shared" si="7"/>
        <v>1.1940951883495647</v>
      </c>
      <c r="W13" s="31">
        <f>GEOMEAN(V8:V13)</f>
        <v>1.2108632997431581</v>
      </c>
      <c r="X13" s="31">
        <f t="shared" si="8"/>
        <v>0.98660832559114764</v>
      </c>
      <c r="Y13" s="31">
        <f>GEOMEAN(X8:X13)</f>
        <v>0.97920792789878874</v>
      </c>
    </row>
    <row r="14" spans="1:32" x14ac:dyDescent="0.25">
      <c r="A14" s="31">
        <f t="shared" si="0"/>
        <v>438.97816440622546</v>
      </c>
      <c r="B14" s="31">
        <v>0</v>
      </c>
      <c r="C14" s="31">
        <f t="shared" si="1"/>
        <v>0.29457974760943756</v>
      </c>
      <c r="D14" s="41">
        <v>0</v>
      </c>
      <c r="E14" s="40">
        <v>326.34560906515497</v>
      </c>
      <c r="F14" s="40"/>
      <c r="G14" s="40">
        <v>516.71388101982996</v>
      </c>
      <c r="H14" s="40">
        <v>710.48158640226598</v>
      </c>
      <c r="I14" s="40"/>
      <c r="J14" s="40">
        <v>1490.1844677667236</v>
      </c>
      <c r="K14" s="40"/>
      <c r="L14" s="40">
        <f t="shared" si="2"/>
        <v>0.47677425296683884</v>
      </c>
      <c r="M14" s="40"/>
      <c r="N14" s="40">
        <f t="shared" si="9"/>
        <v>10000000</v>
      </c>
      <c r="O14" s="40"/>
      <c r="P14" s="39">
        <v>1</v>
      </c>
      <c r="R14" s="31">
        <f t="shared" si="4"/>
        <v>0.21899678605175327</v>
      </c>
      <c r="S14" s="31">
        <f t="shared" si="5"/>
        <v>7</v>
      </c>
      <c r="U14" s="31">
        <f t="shared" si="6"/>
        <v>0.74342105263158009</v>
      </c>
      <c r="X14" s="31">
        <f>GEOMEAN(X8:X13)</f>
        <v>0.97920792789878874</v>
      </c>
      <c r="AB14" s="31">
        <f>(AB6-AC6)/(AB3-AC3)</f>
        <v>-5.966634343598435E-9</v>
      </c>
    </row>
    <row r="15" spans="1:32" x14ac:dyDescent="0.25">
      <c r="A15" s="31">
        <f t="shared" si="0"/>
        <v>474.9494131930395</v>
      </c>
      <c r="B15" s="31">
        <v>0</v>
      </c>
      <c r="C15" s="31">
        <f t="shared" si="1"/>
        <v>0.30183716900177371</v>
      </c>
      <c r="D15" s="38">
        <v>0</v>
      </c>
      <c r="E15" s="37">
        <v>346.74220963172797</v>
      </c>
      <c r="F15" s="37"/>
      <c r="G15" s="37">
        <v>554.10764872521202</v>
      </c>
      <c r="H15" s="37">
        <v>751.27478753541004</v>
      </c>
      <c r="I15" s="37"/>
      <c r="J15" s="37">
        <v>1573.5285841825812</v>
      </c>
      <c r="K15" s="37"/>
      <c r="L15" s="37">
        <f t="shared" si="2"/>
        <v>0.47744591047622009</v>
      </c>
      <c r="M15" s="37"/>
      <c r="N15" s="37">
        <f t="shared" si="9"/>
        <v>10000000</v>
      </c>
      <c r="O15" s="37"/>
      <c r="P15" s="36">
        <v>2</v>
      </c>
      <c r="R15" s="31">
        <f t="shared" si="4"/>
        <v>0.22035965098902482</v>
      </c>
      <c r="S15" s="31">
        <f t="shared" si="5"/>
        <v>7</v>
      </c>
      <c r="U15" s="31">
        <f t="shared" si="6"/>
        <v>0.73006134969325098</v>
      </c>
      <c r="AB15" s="31">
        <f>AB6-AB3*AB14</f>
        <v>0.3255765303356476</v>
      </c>
    </row>
    <row r="16" spans="1:32" x14ac:dyDescent="0.25">
      <c r="A16" s="31">
        <f t="shared" si="0"/>
        <v>543.77655807365363</v>
      </c>
      <c r="B16" s="31">
        <v>0</v>
      </c>
      <c r="C16" s="31">
        <f t="shared" si="1"/>
        <v>0.31089380204892697</v>
      </c>
      <c r="D16" s="38">
        <v>0</v>
      </c>
      <c r="E16" s="37">
        <v>397.733711048158</v>
      </c>
      <c r="F16" s="37"/>
      <c r="G16" s="37">
        <v>594.90084985835699</v>
      </c>
      <c r="H16" s="37">
        <v>832.86118980169897</v>
      </c>
      <c r="I16" s="37"/>
      <c r="J16" s="37">
        <v>1749.0749397058635</v>
      </c>
      <c r="K16" s="37"/>
      <c r="L16" s="37">
        <f t="shared" si="2"/>
        <v>0.4761723874116901</v>
      </c>
      <c r="M16" s="37"/>
      <c r="N16" s="37">
        <f t="shared" si="9"/>
        <v>10000000</v>
      </c>
      <c r="O16" s="37"/>
      <c r="P16" s="36">
        <v>3</v>
      </c>
      <c r="R16" s="31">
        <f t="shared" si="4"/>
        <v>0.22739660949864368</v>
      </c>
      <c r="S16" s="31">
        <f t="shared" si="5"/>
        <v>7</v>
      </c>
      <c r="U16" s="31">
        <f t="shared" si="6"/>
        <v>0.73142857142857121</v>
      </c>
    </row>
    <row r="17" spans="1:21" x14ac:dyDescent="0.25">
      <c r="A17" s="31">
        <f t="shared" si="0"/>
        <v>576.27381737746668</v>
      </c>
      <c r="B17" s="31">
        <v>0</v>
      </c>
      <c r="C17" s="31">
        <f t="shared" si="1"/>
        <v>0.29706852488520902</v>
      </c>
      <c r="D17" s="38">
        <v>0</v>
      </c>
      <c r="E17" s="37">
        <v>424.92917847025399</v>
      </c>
      <c r="F17" s="37"/>
      <c r="G17" s="37">
        <v>673.08781869688301</v>
      </c>
      <c r="H17" s="37">
        <v>921.24645892351202</v>
      </c>
      <c r="I17" s="37"/>
      <c r="J17" s="37">
        <v>1939.8683101824608</v>
      </c>
      <c r="K17" s="37"/>
      <c r="L17" s="37">
        <f t="shared" si="2"/>
        <v>0.47490154568114012</v>
      </c>
      <c r="M17" s="37"/>
      <c r="N17" s="37">
        <f t="shared" si="9"/>
        <v>10000000</v>
      </c>
      <c r="O17" s="37"/>
      <c r="P17" s="36">
        <v>5</v>
      </c>
      <c r="R17" s="31">
        <f t="shared" si="4"/>
        <v>0.21905052845071005</v>
      </c>
      <c r="S17" s="31">
        <f t="shared" si="5"/>
        <v>7</v>
      </c>
      <c r="U17" s="31">
        <f t="shared" si="6"/>
        <v>0.73737373737373868</v>
      </c>
    </row>
    <row r="18" spans="1:21" x14ac:dyDescent="0.25">
      <c r="A18" s="31">
        <f t="shared" si="0"/>
        <v>627.38910603506929</v>
      </c>
      <c r="B18" s="31">
        <v>0</v>
      </c>
      <c r="C18" s="31">
        <f t="shared" si="1"/>
        <v>0.29999820572558078</v>
      </c>
      <c r="D18" s="38">
        <v>0</v>
      </c>
      <c r="E18" s="37">
        <v>458.92351274787501</v>
      </c>
      <c r="F18" s="37"/>
      <c r="G18" s="37">
        <v>734.27762039660001</v>
      </c>
      <c r="H18" s="37">
        <v>996.03399433427705</v>
      </c>
      <c r="I18" s="37"/>
      <c r="J18" s="37">
        <v>2091.3095280608604</v>
      </c>
      <c r="K18" s="37"/>
      <c r="L18" s="37">
        <f t="shared" si="2"/>
        <v>0.47627287160013881</v>
      </c>
      <c r="M18" s="37"/>
      <c r="N18" s="37">
        <f t="shared" si="9"/>
        <v>10000000</v>
      </c>
      <c r="O18" s="37"/>
      <c r="P18" s="36">
        <v>8</v>
      </c>
      <c r="R18" s="31">
        <f t="shared" si="4"/>
        <v>0.21944313196593421</v>
      </c>
      <c r="S18" s="31">
        <f t="shared" si="5"/>
        <v>7</v>
      </c>
      <c r="U18" s="31">
        <f t="shared" si="6"/>
        <v>0.73148148148148184</v>
      </c>
    </row>
    <row r="19" spans="1:21" ht="15.75" thickBot="1" x14ac:dyDescent="0.3">
      <c r="A19" s="31">
        <f t="shared" si="0"/>
        <v>674.48102911809849</v>
      </c>
      <c r="B19" s="31">
        <v>0</v>
      </c>
      <c r="C19" s="31">
        <f t="shared" si="1"/>
        <v>0.28698877930307998</v>
      </c>
      <c r="D19" s="35">
        <v>0</v>
      </c>
      <c r="E19" s="34">
        <v>499.71671388101902</v>
      </c>
      <c r="F19" s="34"/>
      <c r="G19" s="34">
        <v>839.66005665722298</v>
      </c>
      <c r="H19" s="34">
        <v>1121.81303116147</v>
      </c>
      <c r="I19" s="34"/>
      <c r="J19" s="34">
        <v>2350.1999999999998</v>
      </c>
      <c r="K19" s="34"/>
      <c r="L19" s="34">
        <f t="shared" si="2"/>
        <v>0.47732662376030555</v>
      </c>
      <c r="M19" s="34"/>
      <c r="N19" s="34">
        <f t="shared" si="9"/>
        <v>10000000</v>
      </c>
      <c r="O19" s="34"/>
      <c r="P19" s="33">
        <v>10</v>
      </c>
      <c r="R19" s="31">
        <f t="shared" si="4"/>
        <v>0.21262731422049999</v>
      </c>
      <c r="S19" s="31">
        <f t="shared" si="5"/>
        <v>7</v>
      </c>
      <c r="U19" s="31">
        <f t="shared" si="6"/>
        <v>0.74089068825910731</v>
      </c>
    </row>
    <row r="20" spans="1:21" x14ac:dyDescent="0.25">
      <c r="K20" s="31" t="s">
        <v>102</v>
      </c>
      <c r="L20" s="32">
        <f>GEOMEAN(L2:L19)</f>
        <v>0.47601521250122947</v>
      </c>
      <c r="R20" s="32">
        <f>GEOMEAN(R2:R7)</f>
        <v>0.31960989599204914</v>
      </c>
      <c r="U20" s="32">
        <f>GEOMEAN(U2:U13)</f>
        <v>0.71964387134949526</v>
      </c>
    </row>
    <row r="21" spans="1:21" x14ac:dyDescent="0.25">
      <c r="L21" s="32">
        <f>_xlfn.STDEV.S(L2:L19)</f>
        <v>1.0218635151653798E-3</v>
      </c>
      <c r="R21" s="32">
        <f>_xlfn.STDEV.S(R2:R7)</f>
        <v>1.3476375934465247E-2</v>
      </c>
      <c r="U21" s="32">
        <f>_xlfn.STDEV.S(U2:U7)</f>
        <v>9.2560176733323656E-3</v>
      </c>
    </row>
    <row r="23" spans="1:21" x14ac:dyDescent="0.25">
      <c r="R23" s="31">
        <f>GEOMEAN(R8:R13)</f>
        <v>0.26591018689966323</v>
      </c>
      <c r="U23" s="31">
        <f>GEOMEAN(U8:U13)</f>
        <v>0.72046042981716141</v>
      </c>
    </row>
    <row r="24" spans="1:21" x14ac:dyDescent="0.25">
      <c r="R24" s="31">
        <f>_xlfn.STDEV.S(R8:R13)</f>
        <v>7.300267063560093E-3</v>
      </c>
      <c r="U24" s="31">
        <f>_xlfn.STDEV.S(U8:U13)</f>
        <v>1.4192447416598903E-2</v>
      </c>
    </row>
    <row r="26" spans="1:21" x14ac:dyDescent="0.25">
      <c r="R26" s="31">
        <f>GEOMEAN(R14:R19)</f>
        <v>0.21960380412559097</v>
      </c>
      <c r="S26" s="31">
        <f>R23/W13</f>
        <v>0.21960380412559097</v>
      </c>
      <c r="U26" s="31">
        <f>GEOMEAN(U14:U19)</f>
        <v>0.73575837091428076</v>
      </c>
    </row>
    <row r="27" spans="1:21" x14ac:dyDescent="0.25">
      <c r="R27" s="31">
        <f>_xlfn.STDEV.S(R14:R19)</f>
        <v>4.7044747912852363E-3</v>
      </c>
      <c r="U27" s="31">
        <f>_xlfn.STDEV.S(U14:U19)</f>
        <v>5.6064227976776303E-3</v>
      </c>
    </row>
    <row r="36" spans="5:10" x14ac:dyDescent="0.25">
      <c r="E36" s="31">
        <v>0.56000000000000005</v>
      </c>
      <c r="F36" s="31">
        <v>0.66200000000000003</v>
      </c>
      <c r="G36" s="31">
        <v>-6.2199999999999998E-2</v>
      </c>
      <c r="I36" s="31">
        <f>1/(F36*(10^6)^G36 )+1/E36</f>
        <v>5.3530338082486022</v>
      </c>
      <c r="J36" s="31">
        <f>1/(F36*(10^7)^G36 )+1/E36</f>
        <v>5.9023459531602054</v>
      </c>
    </row>
    <row r="37" spans="5:10" x14ac:dyDescent="0.25">
      <c r="E37" s="31">
        <v>0.56000000000000005</v>
      </c>
      <c r="F37" s="31">
        <v>0.50209999999999999</v>
      </c>
      <c r="G37" s="31">
        <v>-2.06E-2</v>
      </c>
      <c r="I37" s="31">
        <f>1/(F37*(10^6)^G37 )+1/E37</f>
        <v>4.433054632887524</v>
      </c>
      <c r="J37" s="31">
        <f>1/(F37*(10^7)^G37 )+1/E37</f>
        <v>4.56165239189398</v>
      </c>
    </row>
    <row r="38" spans="5:10" x14ac:dyDescent="0.25">
      <c r="E38" s="31">
        <v>0.7</v>
      </c>
      <c r="F38" s="31">
        <v>0.57579999999999998</v>
      </c>
      <c r="G38" s="31">
        <v>-5.3699999999999998E-2</v>
      </c>
      <c r="I38" s="31">
        <f>1/(F38*(10^6)^G38 )+1/E38</f>
        <v>5.0755090870681743</v>
      </c>
      <c r="J38" s="31">
        <f>1/(F38*(10^7)^G38 )+1/E38</f>
        <v>5.5555131825270117</v>
      </c>
    </row>
    <row r="39" spans="5:10" x14ac:dyDescent="0.25">
      <c r="E39" s="31">
        <v>0.7</v>
      </c>
      <c r="F39" s="31">
        <v>0.45789999999999997</v>
      </c>
      <c r="G39" s="31">
        <v>-1.7999999999999999E-2</v>
      </c>
      <c r="I39" s="31">
        <f>1/(F39*(10^6)^G39 )+1/E39</f>
        <v>4.2290313164421898</v>
      </c>
      <c r="J39" s="31">
        <f>1/(F39*(10^7)^G39 )+1/E39</f>
        <v>4.3475395800159413</v>
      </c>
    </row>
    <row r="40" spans="5:10" x14ac:dyDescent="0.25">
      <c r="E40" s="31">
        <v>0.74</v>
      </c>
      <c r="F40" s="31">
        <v>1.8080000000000001</v>
      </c>
      <c r="G40" s="31">
        <v>-0.13</v>
      </c>
      <c r="I40" s="31">
        <f>1/(F40*(10^6)^G40 )+1/E40</f>
        <v>4.6840924247714719</v>
      </c>
      <c r="J40" s="31">
        <f>1/(F40*(10^7)^G40 )+1/E40</f>
        <v>5.8470953566837593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A42"/>
  <sheetViews>
    <sheetView topLeftCell="I1" workbookViewId="0">
      <selection activeCell="I14" sqref="I14:R14"/>
    </sheetView>
  </sheetViews>
  <sheetFormatPr defaultColWidth="11.42578125" defaultRowHeight="15" x14ac:dyDescent="0.25"/>
  <cols>
    <col min="1" max="14" width="11.42578125" style="31"/>
    <col min="15" max="15" width="11.85546875" style="31" bestFit="1" customWidth="1"/>
    <col min="16" max="16384" width="11.42578125" style="31"/>
  </cols>
  <sheetData>
    <row r="1" spans="1:27" ht="15.75" thickBot="1" x14ac:dyDescent="0.3">
      <c r="K1" s="31" t="s">
        <v>113</v>
      </c>
      <c r="L1" s="31" t="s">
        <v>112</v>
      </c>
      <c r="M1" s="31" t="s">
        <v>111</v>
      </c>
    </row>
    <row r="2" spans="1:27" x14ac:dyDescent="0.25">
      <c r="A2" s="41">
        <v>0</v>
      </c>
      <c r="B2" s="40">
        <v>484.94983277591899</v>
      </c>
      <c r="C2" s="40"/>
      <c r="D2" s="40">
        <v>210</v>
      </c>
      <c r="E2" s="40">
        <v>642.14046822742398</v>
      </c>
      <c r="F2" s="40"/>
      <c r="G2" s="40">
        <v>1951.0731999999998</v>
      </c>
      <c r="H2" s="40"/>
      <c r="I2" s="40">
        <f t="shared" ref="I2:I16" si="0">E2/G2</f>
        <v>0.32912166915491642</v>
      </c>
      <c r="J2" s="40"/>
      <c r="K2" s="40">
        <f>10^6</f>
        <v>1000000</v>
      </c>
      <c r="L2" s="40" t="s">
        <v>103</v>
      </c>
      <c r="M2" s="39">
        <v>1</v>
      </c>
      <c r="O2" s="31">
        <f t="shared" ref="O2:O16" si="1">B2/G2</f>
        <v>0.24855542722636909</v>
      </c>
      <c r="P2" s="31">
        <f t="shared" ref="P2:P16" si="2">LOG10(K2)</f>
        <v>6</v>
      </c>
      <c r="R2" s="31">
        <f t="shared" ref="R2:R16" si="3">(E2-B2)/D2</f>
        <v>0.74852683548335708</v>
      </c>
      <c r="S2" s="31">
        <f t="shared" ref="S2:S11" si="4">O2/O7</f>
        <v>1.3255295429208467</v>
      </c>
    </row>
    <row r="3" spans="1:27" x14ac:dyDescent="0.25">
      <c r="A3" s="38">
        <v>0</v>
      </c>
      <c r="B3" s="37">
        <v>525.08361204013295</v>
      </c>
      <c r="C3" s="37"/>
      <c r="D3" s="37">
        <v>236.666666666666</v>
      </c>
      <c r="E3" s="37">
        <v>698.99665551839405</v>
      </c>
      <c r="F3" s="37"/>
      <c r="G3" s="37">
        <v>1826.5075999999999</v>
      </c>
      <c r="H3" s="37"/>
      <c r="I3" s="37">
        <f t="shared" si="0"/>
        <v>0.38269572791177769</v>
      </c>
      <c r="J3" s="37"/>
      <c r="K3" s="37">
        <f>10^6</f>
        <v>1000000</v>
      </c>
      <c r="L3" s="37" t="s">
        <v>103</v>
      </c>
      <c r="M3" s="36">
        <v>2</v>
      </c>
      <c r="O3" s="31">
        <f t="shared" si="1"/>
        <v>0.28747956594329693</v>
      </c>
      <c r="P3" s="31">
        <f t="shared" si="2"/>
        <v>6</v>
      </c>
      <c r="R3" s="31">
        <f t="shared" si="3"/>
        <v>0.73484384568279548</v>
      </c>
      <c r="S3" s="31">
        <f t="shared" si="4"/>
        <v>1.3576486185181822</v>
      </c>
      <c r="Y3" s="42">
        <v>1000000</v>
      </c>
      <c r="Z3" s="42">
        <v>10000000</v>
      </c>
      <c r="AA3" s="31" t="s">
        <v>108</v>
      </c>
    </row>
    <row r="4" spans="1:27" x14ac:dyDescent="0.25">
      <c r="A4" s="38">
        <v>0</v>
      </c>
      <c r="B4" s="37">
        <v>558.52842809364495</v>
      </c>
      <c r="C4" s="37"/>
      <c r="D4" s="37">
        <v>270</v>
      </c>
      <c r="E4" s="37">
        <v>759.19732441471501</v>
      </c>
      <c r="F4" s="37"/>
      <c r="G4" s="37">
        <v>1719.9999999999998</v>
      </c>
      <c r="H4" s="37"/>
      <c r="I4" s="37">
        <f t="shared" si="0"/>
        <v>0.44139379326436923</v>
      </c>
      <c r="J4" s="37"/>
      <c r="K4" s="37">
        <f>10^6</f>
        <v>1000000</v>
      </c>
      <c r="L4" s="37" t="s">
        <v>103</v>
      </c>
      <c r="M4" s="36">
        <v>3</v>
      </c>
      <c r="O4" s="31">
        <f t="shared" si="1"/>
        <v>0.32472583028700291</v>
      </c>
      <c r="P4" s="31">
        <f t="shared" si="2"/>
        <v>6</v>
      </c>
      <c r="R4" s="31">
        <f t="shared" si="3"/>
        <v>0.74321813452248175</v>
      </c>
      <c r="S4" s="31">
        <f t="shared" si="4"/>
        <v>1.3470391501082037</v>
      </c>
      <c r="W4" s="31" t="s">
        <v>118</v>
      </c>
    </row>
    <row r="5" spans="1:27" x14ac:dyDescent="0.25">
      <c r="A5" s="38">
        <v>0</v>
      </c>
      <c r="B5" s="37">
        <v>585.28428093645402</v>
      </c>
      <c r="C5" s="37"/>
      <c r="D5" s="37">
        <v>300</v>
      </c>
      <c r="E5" s="37">
        <v>809.36454849498296</v>
      </c>
      <c r="F5" s="37"/>
      <c r="G5" s="37">
        <v>1598.5699999999995</v>
      </c>
      <c r="H5" s="37"/>
      <c r="I5" s="37">
        <f t="shared" si="0"/>
        <v>0.50630535321880377</v>
      </c>
      <c r="J5" s="37"/>
      <c r="K5" s="37">
        <f>10^6</f>
        <v>1000000</v>
      </c>
      <c r="L5" s="37" t="s">
        <v>103</v>
      </c>
      <c r="M5" s="36">
        <v>5</v>
      </c>
      <c r="O5" s="31">
        <f t="shared" si="1"/>
        <v>0.36612990418715113</v>
      </c>
      <c r="P5" s="31">
        <f t="shared" si="2"/>
        <v>6</v>
      </c>
      <c r="R5" s="31">
        <f t="shared" si="3"/>
        <v>0.74693422519509645</v>
      </c>
      <c r="S5" s="31">
        <f t="shared" si="4"/>
        <v>1.3123170986622055</v>
      </c>
      <c r="W5" s="31" t="s">
        <v>106</v>
      </c>
      <c r="Y5" s="31">
        <f>I17</f>
        <v>0.44348665515975177</v>
      </c>
      <c r="Z5" s="31">
        <f>I17</f>
        <v>0.44348665515975177</v>
      </c>
      <c r="AA5" s="31">
        <f>T11</f>
        <v>1.329998447095075</v>
      </c>
    </row>
    <row r="6" spans="1:27" ht="15.75" thickBot="1" x14ac:dyDescent="0.3">
      <c r="A6" s="38">
        <v>0</v>
      </c>
      <c r="B6" s="37">
        <v>635.45150501672197</v>
      </c>
      <c r="C6" s="37"/>
      <c r="D6" s="37">
        <v>336.666666666666</v>
      </c>
      <c r="E6" s="37">
        <v>879.59866220735796</v>
      </c>
      <c r="F6" s="37"/>
      <c r="G6" s="37">
        <v>1458.3320000000026</v>
      </c>
      <c r="H6" s="37"/>
      <c r="I6" s="37">
        <f t="shared" si="0"/>
        <v>0.60315391982577105</v>
      </c>
      <c r="J6" s="37"/>
      <c r="K6" s="37">
        <f>10^6</f>
        <v>1000000</v>
      </c>
      <c r="L6" s="37" t="s">
        <v>103</v>
      </c>
      <c r="M6" s="36">
        <v>8</v>
      </c>
      <c r="O6" s="31">
        <f t="shared" si="1"/>
        <v>0.43573857325816129</v>
      </c>
      <c r="P6" s="31">
        <f t="shared" si="2"/>
        <v>6</v>
      </c>
      <c r="R6" s="31">
        <f t="shared" si="3"/>
        <v>0.72518957581377175</v>
      </c>
      <c r="S6" s="31">
        <f t="shared" si="4"/>
        <v>1.2664901523597183</v>
      </c>
      <c r="T6" s="31">
        <f>GEOMEAN(S2:S6)</f>
        <v>1.3214158851652646</v>
      </c>
      <c r="W6" s="31" t="s">
        <v>117</v>
      </c>
      <c r="Y6" s="31">
        <f>O17</f>
        <v>0.32634852576033452</v>
      </c>
      <c r="Z6" s="31">
        <f>O20</f>
        <v>0.24696882293004924</v>
      </c>
      <c r="AA6" s="31">
        <f>T11</f>
        <v>1.329998447095075</v>
      </c>
    </row>
    <row r="7" spans="1:27" x14ac:dyDescent="0.25">
      <c r="A7" s="41">
        <v>0</v>
      </c>
      <c r="B7" s="40">
        <v>365.85365853658499</v>
      </c>
      <c r="C7" s="40"/>
      <c r="D7" s="40">
        <v>372.82229965156699</v>
      </c>
      <c r="E7" s="40">
        <v>648.08362369337897</v>
      </c>
      <c r="F7" s="40"/>
      <c r="G7" s="40">
        <v>1951.0731999999998</v>
      </c>
      <c r="H7" s="40"/>
      <c r="I7" s="40">
        <f t="shared" si="0"/>
        <v>0.33216776474269599</v>
      </c>
      <c r="J7" s="40"/>
      <c r="K7" s="40">
        <f t="shared" ref="K7:K16" si="5">10^7</f>
        <v>10000000</v>
      </c>
      <c r="L7" s="40" t="s">
        <v>103</v>
      </c>
      <c r="M7" s="39">
        <v>1</v>
      </c>
      <c r="O7" s="31">
        <f t="shared" si="1"/>
        <v>0.18751406074184454</v>
      </c>
      <c r="P7" s="31">
        <f t="shared" si="2"/>
        <v>7</v>
      </c>
      <c r="R7" s="31">
        <f t="shared" si="3"/>
        <v>0.75700934579439327</v>
      </c>
      <c r="S7" s="31">
        <f t="shared" si="4"/>
        <v>1.4040870138431105</v>
      </c>
      <c r="U7" s="31">
        <f>R7/R12</f>
        <v>1.0046292252598508</v>
      </c>
      <c r="W7" s="31" t="s">
        <v>104</v>
      </c>
      <c r="Y7" s="31">
        <f>R17</f>
        <v>0.75299524321751521</v>
      </c>
      <c r="Z7" s="31">
        <f>Y7</f>
        <v>0.75299524321751521</v>
      </c>
      <c r="AA7" s="31">
        <v>1</v>
      </c>
    </row>
    <row r="8" spans="1:27" x14ac:dyDescent="0.25">
      <c r="A8" s="38">
        <v>0</v>
      </c>
      <c r="B8" s="37">
        <v>386.75958188153299</v>
      </c>
      <c r="C8" s="37"/>
      <c r="D8" s="37">
        <v>411.14982578397201</v>
      </c>
      <c r="E8" s="37">
        <v>700.34843205574896</v>
      </c>
      <c r="F8" s="37"/>
      <c r="G8" s="37">
        <v>1826.5075999999999</v>
      </c>
      <c r="H8" s="37"/>
      <c r="I8" s="37">
        <f t="shared" si="0"/>
        <v>0.38343581601070204</v>
      </c>
      <c r="J8" s="37"/>
      <c r="K8" s="37">
        <f t="shared" si="5"/>
        <v>10000000</v>
      </c>
      <c r="L8" s="37" t="s">
        <v>103</v>
      </c>
      <c r="M8" s="36">
        <v>2</v>
      </c>
      <c r="O8" s="31">
        <f t="shared" si="1"/>
        <v>0.21174813719993993</v>
      </c>
      <c r="P8" s="31">
        <f t="shared" si="2"/>
        <v>7</v>
      </c>
      <c r="R8" s="31">
        <f t="shared" si="3"/>
        <v>0.76271186440677974</v>
      </c>
      <c r="S8" s="31">
        <f t="shared" si="4"/>
        <v>1.3076157292185204</v>
      </c>
      <c r="U8" s="31">
        <f>R8/R13</f>
        <v>1.0102586975914341</v>
      </c>
    </row>
    <row r="9" spans="1:27" x14ac:dyDescent="0.25">
      <c r="A9" s="38">
        <v>0</v>
      </c>
      <c r="B9" s="37">
        <v>414.63414634146301</v>
      </c>
      <c r="C9" s="37"/>
      <c r="D9" s="37">
        <v>449.47735191637599</v>
      </c>
      <c r="E9" s="37">
        <v>770.03484320557504</v>
      </c>
      <c r="F9" s="37"/>
      <c r="G9" s="37">
        <v>1719.9999999999998</v>
      </c>
      <c r="H9" s="37"/>
      <c r="I9" s="37">
        <f t="shared" si="0"/>
        <v>0.44769467628231113</v>
      </c>
      <c r="J9" s="37"/>
      <c r="K9" s="37">
        <f t="shared" si="5"/>
        <v>10000000</v>
      </c>
      <c r="L9" s="37" t="s">
        <v>103</v>
      </c>
      <c r="M9" s="36">
        <v>3</v>
      </c>
      <c r="O9" s="31">
        <f t="shared" si="1"/>
        <v>0.24106636415201341</v>
      </c>
      <c r="P9" s="31">
        <f t="shared" si="2"/>
        <v>7</v>
      </c>
      <c r="R9" s="31">
        <f t="shared" si="3"/>
        <v>0.79069767441860639</v>
      </c>
      <c r="S9" s="31">
        <f t="shared" si="4"/>
        <v>1.2799575821845164</v>
      </c>
      <c r="U9" s="31">
        <f>R9/R14</f>
        <v>1.0330082520630173</v>
      </c>
    </row>
    <row r="10" spans="1:27" x14ac:dyDescent="0.25">
      <c r="A10" s="38">
        <v>0</v>
      </c>
      <c r="B10" s="37">
        <v>445.99303135888499</v>
      </c>
      <c r="C10" s="37"/>
      <c r="D10" s="37">
        <v>487.80487804877998</v>
      </c>
      <c r="E10" s="37">
        <v>808.36236933797898</v>
      </c>
      <c r="F10" s="37"/>
      <c r="G10" s="37">
        <v>1598.5699999999995</v>
      </c>
      <c r="H10" s="37"/>
      <c r="I10" s="37">
        <f t="shared" si="0"/>
        <v>0.5056784309338842</v>
      </c>
      <c r="J10" s="37"/>
      <c r="K10" s="37">
        <f t="shared" si="5"/>
        <v>10000000</v>
      </c>
      <c r="L10" s="37" t="s">
        <v>103</v>
      </c>
      <c r="M10" s="36">
        <v>5</v>
      </c>
      <c r="O10" s="31">
        <f t="shared" si="1"/>
        <v>0.27899499637731545</v>
      </c>
      <c r="P10" s="31">
        <f t="shared" si="2"/>
        <v>7</v>
      </c>
      <c r="R10" s="31">
        <f t="shared" si="3"/>
        <v>0.74285714285714344</v>
      </c>
      <c r="S10" s="31">
        <f t="shared" si="4"/>
        <v>1.2924696010808516</v>
      </c>
      <c r="U10" s="31">
        <f>R10/R15</f>
        <v>0.99047619047619018</v>
      </c>
    </row>
    <row r="11" spans="1:27" ht="15.75" thickBot="1" x14ac:dyDescent="0.3">
      <c r="A11" s="38">
        <v>0</v>
      </c>
      <c r="B11" s="37">
        <v>501.74216027874502</v>
      </c>
      <c r="C11" s="37"/>
      <c r="D11" s="37">
        <v>512.19512195121899</v>
      </c>
      <c r="E11" s="37">
        <v>881.53310104529601</v>
      </c>
      <c r="F11" s="37"/>
      <c r="G11" s="37">
        <v>1458.3320000000026</v>
      </c>
      <c r="H11" s="37"/>
      <c r="I11" s="37">
        <f t="shared" si="0"/>
        <v>0.60448039338456161</v>
      </c>
      <c r="J11" s="37"/>
      <c r="K11" s="37">
        <f t="shared" si="5"/>
        <v>10000000</v>
      </c>
      <c r="L11" s="37" t="s">
        <v>103</v>
      </c>
      <c r="M11" s="36">
        <v>8</v>
      </c>
      <c r="O11" s="31">
        <f t="shared" si="1"/>
        <v>0.34405208161018486</v>
      </c>
      <c r="P11" s="31">
        <f t="shared" si="2"/>
        <v>7</v>
      </c>
      <c r="R11" s="31">
        <f t="shared" si="3"/>
        <v>0.74149659863945749</v>
      </c>
      <c r="S11" s="31">
        <f t="shared" si="4"/>
        <v>1.3701420530688826</v>
      </c>
      <c r="T11" s="31">
        <f>GEOMEAN(S7:S11)</f>
        <v>1.329998447095075</v>
      </c>
      <c r="U11" s="31">
        <f>R11/R16</f>
        <v>0.95050906268547775</v>
      </c>
    </row>
    <row r="12" spans="1:27" x14ac:dyDescent="0.25">
      <c r="A12" s="41">
        <v>0</v>
      </c>
      <c r="B12" s="40">
        <v>260.56338028169</v>
      </c>
      <c r="C12" s="40"/>
      <c r="D12" s="40">
        <v>500</v>
      </c>
      <c r="E12" s="40">
        <v>637.32394366197104</v>
      </c>
      <c r="F12" s="40"/>
      <c r="G12" s="40">
        <v>1951.0731999999998</v>
      </c>
      <c r="H12" s="40"/>
      <c r="I12" s="40">
        <f t="shared" si="0"/>
        <v>0.32665301520310519</v>
      </c>
      <c r="J12" s="40"/>
      <c r="K12" s="40">
        <f t="shared" si="5"/>
        <v>10000000</v>
      </c>
      <c r="L12" s="40"/>
      <c r="M12" s="39">
        <v>1</v>
      </c>
      <c r="O12" s="31">
        <f t="shared" si="1"/>
        <v>0.13354874654712598</v>
      </c>
      <c r="P12" s="31">
        <f t="shared" si="2"/>
        <v>7</v>
      </c>
      <c r="R12" s="31">
        <f t="shared" si="3"/>
        <v>0.75352112676056204</v>
      </c>
      <c r="U12" s="31">
        <f>GEOMEAN(U7:U11)</f>
        <v>0.99739801558907071</v>
      </c>
    </row>
    <row r="13" spans="1:27" x14ac:dyDescent="0.25">
      <c r="A13" s="38">
        <v>0</v>
      </c>
      <c r="B13" s="37">
        <v>295.774647887323</v>
      </c>
      <c r="C13" s="37"/>
      <c r="D13" s="37">
        <v>531.69014084507</v>
      </c>
      <c r="E13" s="37">
        <v>697.18309859154897</v>
      </c>
      <c r="F13" s="37"/>
      <c r="G13" s="37">
        <v>1826.5075999999999</v>
      </c>
      <c r="H13" s="37"/>
      <c r="I13" s="37">
        <f t="shared" si="0"/>
        <v>0.38170281831378583</v>
      </c>
      <c r="J13" s="37"/>
      <c r="K13" s="37">
        <f t="shared" si="5"/>
        <v>10000000</v>
      </c>
      <c r="L13" s="37"/>
      <c r="M13" s="36">
        <v>2</v>
      </c>
      <c r="O13" s="31">
        <f t="shared" si="1"/>
        <v>0.16193452898160568</v>
      </c>
      <c r="P13" s="31">
        <f t="shared" si="2"/>
        <v>7</v>
      </c>
      <c r="R13" s="31">
        <f t="shared" si="3"/>
        <v>0.75496688741722029</v>
      </c>
    </row>
    <row r="14" spans="1:27" x14ac:dyDescent="0.25">
      <c r="A14" s="38">
        <v>0</v>
      </c>
      <c r="B14" s="37">
        <v>323.94366197183098</v>
      </c>
      <c r="C14" s="37"/>
      <c r="D14" s="37">
        <v>570.42253521126702</v>
      </c>
      <c r="E14" s="37">
        <v>760.56338028169</v>
      </c>
      <c r="F14" s="37"/>
      <c r="G14" s="37">
        <v>1719.9999999999998</v>
      </c>
      <c r="H14" s="37"/>
      <c r="I14" s="37">
        <f t="shared" si="0"/>
        <v>0.44218801179168027</v>
      </c>
      <c r="J14" s="37"/>
      <c r="K14" s="37">
        <f t="shared" si="5"/>
        <v>10000000</v>
      </c>
      <c r="L14" s="37"/>
      <c r="M14" s="36">
        <v>3</v>
      </c>
      <c r="O14" s="31">
        <f t="shared" si="1"/>
        <v>0.1883393383557157</v>
      </c>
      <c r="P14" s="31">
        <f t="shared" si="2"/>
        <v>7</v>
      </c>
      <c r="R14" s="31">
        <f t="shared" si="3"/>
        <v>0.76543209876543261</v>
      </c>
      <c r="W14" s="31">
        <f>(Y6-Z6)/(Y3-Z3)</f>
        <v>-8.8199669811428099E-9</v>
      </c>
    </row>
    <row r="15" spans="1:27" x14ac:dyDescent="0.25">
      <c r="A15" s="38">
        <v>0</v>
      </c>
      <c r="B15" s="37">
        <v>345.07042253521098</v>
      </c>
      <c r="C15" s="37"/>
      <c r="D15" s="37">
        <v>619.71830985915403</v>
      </c>
      <c r="E15" s="37">
        <v>809.85915492957702</v>
      </c>
      <c r="F15" s="37"/>
      <c r="G15" s="37">
        <v>1598.5699999999995</v>
      </c>
      <c r="H15" s="37"/>
      <c r="I15" s="37">
        <f t="shared" si="0"/>
        <v>0.50661475877163797</v>
      </c>
      <c r="J15" s="37"/>
      <c r="K15" s="37">
        <f t="shared" si="5"/>
        <v>10000000</v>
      </c>
      <c r="L15" s="37"/>
      <c r="M15" s="36">
        <v>5</v>
      </c>
      <c r="O15" s="31">
        <f t="shared" si="1"/>
        <v>0.21586194069400219</v>
      </c>
      <c r="P15" s="31">
        <f t="shared" si="2"/>
        <v>7</v>
      </c>
      <c r="R15" s="31">
        <f t="shared" si="3"/>
        <v>0.75000000000000078</v>
      </c>
      <c r="W15" s="31">
        <f>Y6-Y3*W14</f>
        <v>0.33516849274147731</v>
      </c>
    </row>
    <row r="16" spans="1:27" ht="15.75" thickBot="1" x14ac:dyDescent="0.3">
      <c r="A16" s="35">
        <v>0</v>
      </c>
      <c r="B16" s="34">
        <v>366.19718309859098</v>
      </c>
      <c r="C16" s="34"/>
      <c r="D16" s="34">
        <v>672.53521126760495</v>
      </c>
      <c r="E16" s="34">
        <v>890.84507042253495</v>
      </c>
      <c r="F16" s="34"/>
      <c r="G16" s="34">
        <v>1458.3320000000026</v>
      </c>
      <c r="H16" s="34"/>
      <c r="I16" s="34">
        <f t="shared" si="0"/>
        <v>0.61086574965270823</v>
      </c>
      <c r="J16" s="34"/>
      <c r="K16" s="34">
        <f t="shared" si="5"/>
        <v>10000000</v>
      </c>
      <c r="L16" s="34"/>
      <c r="M16" s="33">
        <v>8</v>
      </c>
      <c r="O16" s="31">
        <f t="shared" si="1"/>
        <v>0.25110686942245686</v>
      </c>
      <c r="P16" s="31">
        <f t="shared" si="2"/>
        <v>7</v>
      </c>
      <c r="R16" s="31">
        <f t="shared" si="3"/>
        <v>0.78010471204188592</v>
      </c>
    </row>
    <row r="17" spans="2:19" x14ac:dyDescent="0.25">
      <c r="H17" s="31" t="s">
        <v>102</v>
      </c>
      <c r="I17" s="32">
        <f>GEOMEAN(I2:I16)</f>
        <v>0.44348665515975177</v>
      </c>
      <c r="O17" s="32">
        <f>GEOMEAN(O2:O6)</f>
        <v>0.32634852576033452</v>
      </c>
      <c r="R17" s="32">
        <f>GEOMEAN(R2:R16)</f>
        <v>0.75299524321751521</v>
      </c>
    </row>
    <row r="18" spans="2:19" x14ac:dyDescent="0.25">
      <c r="I18" s="32">
        <f>_xlfn.STDEV.S(I2:I16)</f>
        <v>9.9983668311744933E-2</v>
      </c>
      <c r="O18" s="32">
        <f>_xlfn.STDEV.S(O2:O6)</f>
        <v>7.2324163693403623E-2</v>
      </c>
      <c r="R18" s="32">
        <f>_xlfn.STDEV.S(R2:R6)</f>
        <v>9.7050233511654701E-3</v>
      </c>
    </row>
    <row r="20" spans="2:19" x14ac:dyDescent="0.25">
      <c r="O20" s="31">
        <f>GEOMEAN(O7:O11)</f>
        <v>0.24696882293004924</v>
      </c>
      <c r="R20" s="31">
        <f>GEOMEAN(R7:R11)</f>
        <v>0.75874760690966692</v>
      </c>
    </row>
    <row r="21" spans="2:19" x14ac:dyDescent="0.25">
      <c r="O21" s="31">
        <f>_xlfn.STDEV.S(O7:O11)</f>
        <v>6.1437427075695307E-2</v>
      </c>
      <c r="R21" s="31">
        <f>_xlfn.STDEV.S(R7:R11)</f>
        <v>1.993385161750557E-2</v>
      </c>
    </row>
    <row r="23" spans="2:19" x14ac:dyDescent="0.25">
      <c r="O23" s="31">
        <f>GEOMEAN(O12:O16)</f>
        <v>0.18569106112076136</v>
      </c>
      <c r="P23" s="31">
        <f>O20/T11</f>
        <v>0.18569106112076134</v>
      </c>
      <c r="R23" s="31">
        <f>GEOMEAN(R12:R16)</f>
        <v>0.76072700672213078</v>
      </c>
      <c r="S23" s="31">
        <f>R20*T11</f>
        <v>1.0091331389269613</v>
      </c>
    </row>
    <row r="24" spans="2:19" x14ac:dyDescent="0.25">
      <c r="O24" s="31">
        <f>_xlfn.STDEV.S(O12:O16)</f>
        <v>4.5770997022309759E-2</v>
      </c>
      <c r="R24" s="31">
        <f>_xlfn.STDEV.S(R12:R16)</f>
        <v>1.2224722090665831E-2</v>
      </c>
    </row>
    <row r="25" spans="2:19" x14ac:dyDescent="0.25">
      <c r="B25" s="31">
        <v>0.56000000000000005</v>
      </c>
      <c r="C25" s="31">
        <v>0.66200000000000003</v>
      </c>
      <c r="D25" s="31">
        <v>-6.2199999999999998E-2</v>
      </c>
      <c r="F25" s="31">
        <f>1/(C25*(10^6)^D25 )+1/B25</f>
        <v>5.3530338082486022</v>
      </c>
      <c r="G25" s="31">
        <f>1/(C25*(10^7)^D25 )+1/B25</f>
        <v>5.9023459531602054</v>
      </c>
    </row>
    <row r="26" spans="2:19" x14ac:dyDescent="0.25">
      <c r="B26" s="31">
        <v>0.56000000000000005</v>
      </c>
      <c r="C26" s="31">
        <v>0.50209999999999999</v>
      </c>
      <c r="D26" s="31">
        <v>-2.06E-2</v>
      </c>
      <c r="F26" s="31">
        <f>1/(C26*(10^6)^D26 )+1/B26</f>
        <v>4.433054632887524</v>
      </c>
      <c r="G26" s="31">
        <f>1/(C26*(10^7)^D26 )+1/B26</f>
        <v>4.56165239189398</v>
      </c>
    </row>
    <row r="27" spans="2:19" x14ac:dyDescent="0.25">
      <c r="B27" s="31">
        <v>0.7</v>
      </c>
      <c r="C27" s="31">
        <v>0.57579999999999998</v>
      </c>
      <c r="D27" s="31">
        <v>-5.3699999999999998E-2</v>
      </c>
      <c r="F27" s="31">
        <f>1/(C27*(10^6)^D27 )+1/B27</f>
        <v>5.0755090870681743</v>
      </c>
      <c r="G27" s="31">
        <f>1/(C27*(10^7)^D27 )+1/B27</f>
        <v>5.5555131825270117</v>
      </c>
    </row>
    <row r="28" spans="2:19" x14ac:dyDescent="0.25">
      <c r="B28" s="31">
        <v>0.7</v>
      </c>
      <c r="C28" s="31">
        <v>0.45789999999999997</v>
      </c>
      <c r="D28" s="31">
        <v>-1.7999999999999999E-2</v>
      </c>
      <c r="F28" s="31">
        <f>1/(C28*(10^6)^D28 )+1/B28</f>
        <v>4.2290313164421898</v>
      </c>
      <c r="G28" s="31">
        <f>1/(C28*(10^7)^D28 )+1/B28</f>
        <v>4.3475395800159413</v>
      </c>
    </row>
    <row r="29" spans="2:19" x14ac:dyDescent="0.25">
      <c r="B29" s="31">
        <v>0.74</v>
      </c>
      <c r="C29" s="31">
        <v>1.8080000000000001</v>
      </c>
      <c r="D29" s="31">
        <v>-0.13</v>
      </c>
      <c r="F29" s="31">
        <f>1/(C29*(10^6)^D29 )+1/B29</f>
        <v>4.6840924247714719</v>
      </c>
      <c r="G29" s="31">
        <f>1/(C29*(10^7)^D29 )+1/B29</f>
        <v>5.8470953566837593</v>
      </c>
    </row>
    <row r="33" spans="1:2" x14ac:dyDescent="0.25">
      <c r="A33" s="31">
        <v>0</v>
      </c>
      <c r="B33" s="31">
        <v>260.56338028169</v>
      </c>
    </row>
    <row r="34" spans="1:2" x14ac:dyDescent="0.25">
      <c r="A34" s="31">
        <v>0</v>
      </c>
      <c r="B34" s="31">
        <v>295.774647887323</v>
      </c>
    </row>
    <row r="35" spans="1:2" x14ac:dyDescent="0.25">
      <c r="A35" s="31">
        <v>0</v>
      </c>
      <c r="B35" s="31">
        <v>323.94366197183098</v>
      </c>
    </row>
    <row r="36" spans="1:2" x14ac:dyDescent="0.25">
      <c r="A36" s="31">
        <v>0</v>
      </c>
      <c r="B36" s="31">
        <v>345.07042253521098</v>
      </c>
    </row>
    <row r="37" spans="1:2" x14ac:dyDescent="0.25">
      <c r="A37" s="31">
        <v>0</v>
      </c>
      <c r="B37" s="31">
        <v>366.19718309859098</v>
      </c>
    </row>
    <row r="38" spans="1:2" x14ac:dyDescent="0.25">
      <c r="A38" s="31">
        <v>500</v>
      </c>
      <c r="B38" s="31">
        <v>637.32394366197104</v>
      </c>
    </row>
    <row r="39" spans="1:2" x14ac:dyDescent="0.25">
      <c r="A39" s="31">
        <v>531.69014084507</v>
      </c>
      <c r="B39" s="31">
        <v>697.18309859154897</v>
      </c>
    </row>
    <row r="40" spans="1:2" x14ac:dyDescent="0.25">
      <c r="A40" s="31">
        <v>570.42253521126702</v>
      </c>
      <c r="B40" s="31">
        <v>760.56338028169</v>
      </c>
    </row>
    <row r="41" spans="1:2" x14ac:dyDescent="0.25">
      <c r="A41" s="31">
        <v>619.71830985915403</v>
      </c>
      <c r="B41" s="31">
        <v>809.85915492957702</v>
      </c>
    </row>
    <row r="42" spans="1:2" x14ac:dyDescent="0.25">
      <c r="A42" s="31">
        <v>672.53521126760495</v>
      </c>
      <c r="B42" s="31">
        <v>890.84507042253495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Spring selection type</vt:lpstr>
      <vt:lpstr>Hoja2</vt:lpstr>
      <vt:lpstr>DH</vt:lpstr>
      <vt:lpstr>TD</vt:lpstr>
      <vt:lpstr>'Compression Spring 2K'!Print_Area</vt:lpstr>
    </vt:vector>
  </TitlesOfParts>
  <Company>EACIM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EAC</dc:creator>
  <cp:lastModifiedBy>Ernesto</cp:lastModifiedBy>
  <cp:lastPrinted>2020-09-24T13:29:08Z</cp:lastPrinted>
  <dcterms:created xsi:type="dcterms:W3CDTF">2011-05-17T17:36:25Z</dcterms:created>
  <dcterms:modified xsi:type="dcterms:W3CDTF">2022-01-13T12:35:36Z</dcterms:modified>
</cp:coreProperties>
</file>